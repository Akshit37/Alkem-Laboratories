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V\"/>
    </mc:Choice>
  </mc:AlternateContent>
  <xr:revisionPtr revIDLastSave="0" documentId="13_ncr:1_{8A20138C-4ED5-43CA-8E6B-C6F78090B481}" xr6:coauthVersionLast="47" xr6:coauthVersionMax="47" xr10:uidLastSave="{00000000-0000-0000-0000-000000000000}"/>
  <bookViews>
    <workbookView xWindow="-108" yWindow="-108" windowWidth="23256" windowHeight="12456" activeTab="1" xr2:uid="{090E87EE-4376-49AF-81A0-A4C4085B59B3}"/>
  </bookViews>
  <sheets>
    <sheet name="Temp" sheetId="1" r:id="rId1"/>
    <sheet name="Valuation Summary" sheetId="12" r:id="rId2"/>
    <sheet name="Historical" sheetId="3" r:id="rId3"/>
    <sheet name="Model" sheetId="4" r:id="rId4"/>
    <sheet name="Scenarios" sheetId="6" r:id="rId5"/>
    <sheet name="Relative Valuation" sheetId="7" r:id="rId6"/>
    <sheet name="Comps Basic Sheet" sheetId="8" state="hidden" r:id="rId7"/>
    <sheet name="Market_Data" sheetId="9" r:id="rId8"/>
    <sheet name="WACC" sheetId="10" r:id="rId9"/>
    <sheet name="Beta" sheetId="11" r:id="rId10"/>
    <sheet name="Ratio Analysis" sheetId="13" r:id="rId11"/>
    <sheet name="DuPont" sheetId="16" r:id="rId12"/>
  </sheets>
  <externalReferences>
    <externalReference r:id="rId13"/>
    <externalReference r:id="rId14"/>
  </externalReferences>
  <definedNames>
    <definedName name="__FDS_HYPERLINK_TOGGLE_STATE__" hidden="1">"ON"</definedName>
    <definedName name="_Order1" hidden="1">0</definedName>
    <definedName name="CIQWBGuid" hidden="1">"2cd8126d-26c3-430c-b7fa-a069e3a1fc62"</definedName>
    <definedName name="CIQWBInfo" hidden="1">"{ ""CIQVersion"":""9.45.614.5792"" }"</definedName>
    <definedName name="IQ_ADDIN" hidden="1">"AUTO"</definedName>
    <definedName name="IQ_AVG_PRICE_TARGET" hidden="1">"c82"</definedName>
    <definedName name="IQ_CONV_RATE" hidden="1">"c2192"</definedName>
    <definedName name="IQ_DNTM" hidden="1">700000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ST_ACT_EPS_PRIMARY" hidden="1">"c2232"</definedName>
    <definedName name="IQ_EST_EPS_SURPRISE" hidden="1">"c1635"</definedName>
    <definedName name="IQ_EST_NUM_BUY_REUT" hidden="1">"c3869"</definedName>
    <definedName name="IQ_EST_NUM_BUY_THOM" hidden="1">"c5165"</definedName>
    <definedName name="IQ_EST_NUM_HOLD_REUT" hidden="1">"c3871"</definedName>
    <definedName name="IQ_EST_NUM_HOLD_THOM" hidden="1">"c5167"</definedName>
    <definedName name="IQ_EST_NUM_OUTPERFORM_REUT" hidden="1">"c3870"</definedName>
    <definedName name="IQ_EST_NUM_OUTPERFORM_THOM" hidden="1">"c5166"</definedName>
    <definedName name="IQ_EST_NUM_SELL_REUT" hidden="1">"c3873"</definedName>
    <definedName name="IQ_EST_NUM_SELL_THOM" hidden="1">"c5169"</definedName>
    <definedName name="IQ_EST_NUM_UNDERPERFORM_REUT" hidden="1">"c3872"</definedName>
    <definedName name="IQ_EST_NUM_UNDERPERFORM_THOM" hidden="1">"c5168"</definedName>
    <definedName name="IQ_EXPENSE_CODE_" hidden="1">"test"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"10/01/2018 15:52:08"</definedName>
    <definedName name="IQ_NAV_ACT_OR_EST" hidden="1">"c2225"</definedName>
    <definedName name="IQ_OG_TOTAL_OIL_PRODUCTON" hidden="1">"c2059"</definedName>
    <definedName name="IQ_OPENED55" hidden="1">1</definedName>
    <definedName name="IQ_PRIMARY_EPS_TYPE_THOM" hidden="1">"c5297"</definedName>
    <definedName name="IQ_QTD" hidden="1">750000</definedName>
    <definedName name="IQ_SHAREOUTSTANDING" hidden="1">"c1347"</definedName>
    <definedName name="IQ_TODAY" hidden="1">0</definedName>
    <definedName name="IQ_TOTAL_PENSION_OBLIGATION" hidden="1">"c1292"</definedName>
    <definedName name="IQ_YTDMONTH" hidden="1">130000</definedName>
    <definedName name="IQRCOMPSE5" hidden="1">#REF!</definedName>
    <definedName name="IQRWACCAnalysisBB10" hidden="1">#REF!</definedName>
    <definedName name="IQRWACCAnalysisBC10" hidden="1">#REF!</definedName>
    <definedName name="IQRWACCAnalysisBF10" hidden="1">#REF!</definedName>
    <definedName name="IQRWACCAnalysisBH10" hidden="1">#REF!</definedName>
    <definedName name="IQRWACCAnalysisBJ10" hidden="1">#REF!</definedName>
    <definedName name="IQRWACCAnalysisBK10" hidden="1">#REF!</definedName>
    <definedName name="IQRWACCAnalysisBL10" hidden="1">#REF!</definedName>
    <definedName name="IQRWACCAnalysisBM10" hidden="1">#REF!</definedName>
    <definedName name="IQRWACCAnalysisBN10" hidden="1">#REF!</definedName>
    <definedName name="IQRWACCAnalysisBO10" hidden="1">#REF!</definedName>
    <definedName name="IQRWACCAnalysisBP10" hidden="1">#REF!</definedName>
    <definedName name="IQRWACCAnalysisBQ10" hidden="1">#REF!</definedName>
    <definedName name="IQRWACCAnalysisBR10" hidden="1">#REF!</definedName>
    <definedName name="IQRWACCAnalysisBS10" hidden="1">#REF!</definedName>
    <definedName name="IQRWACCAnalysisBT10" hidden="1">#REF!</definedName>
    <definedName name="IQRWACCAnalysisBU10" hidden="1">#REF!</definedName>
    <definedName name="IQRWACCAnalysisBV10" hidden="1">#REF!</definedName>
    <definedName name="IQRWACCAnalysisBW10" hidden="1">#REF!</definedName>
    <definedName name="IQRWACCAnalysisBX10" hidden="1">#REF!</definedName>
    <definedName name="IQRWACCAnalysisBY10" hidden="1">#REF!</definedName>
    <definedName name="IQRWACCAnalysisBZ10" hidden="1">#REF!</definedName>
    <definedName name="IQRWACCAnalysisCA10" hidden="1">#REF!</definedName>
    <definedName name="IQRWACCAnalysisCB10" hidden="1">#REF!</definedName>
    <definedName name="IQRWACCAnalysisCC10" hidden="1">#REF!</definedName>
    <definedName name="IQRWACCAnalysisCD10" hidden="1">#REF!</definedName>
    <definedName name="IQRWACCAnalysisformulas2BF10" hidden="1">#REF!</definedName>
    <definedName name="IQRWACCAnalysisformulas2BN10" hidden="1">#REF!</definedName>
    <definedName name="IQRWACCAnalysisformulasBF10" hidden="1">#REF!</definedName>
    <definedName name="IQRWACCAnalysisformulasBN10" hidden="1">#REF!</definedName>
    <definedName name="IQRWACCAnalysishardcodeBF10" hidden="1">#REF!</definedName>
    <definedName name="IQRWACCAnalysishardcodeBN10" hidden="1">#REF!</definedName>
    <definedName name="IQRWACCformulasBF10" hidden="1">#REF!</definedName>
    <definedName name="IQRWACCformulasBN10" hidden="1">#REF!</definedName>
    <definedName name="IQRWACChardcodeBF10" hidden="1">#REF!</definedName>
    <definedName name="IQRWACChardcodeBF9" hidden="1">#REF!</definedName>
    <definedName name="IQRWACChardcodeBN10" hidden="1">#REF!</definedName>
    <definedName name="IQRWACChardcodeBN9" hidden="1">#REF!</definedName>
    <definedName name="ListOffset" hidden="1">1</definedName>
    <definedName name="o" hidden="1">{#N/A,#N/A,FALSE,"New Depr Sch-150% DB";#N/A,#N/A,FALSE,"Cash Flows RLP";#N/A,#N/A,FALSE,"IRR";#N/A,#N/A,FALSE,"Proforma IS";#N/A,#N/A,FALSE,"Assumptions"}</definedName>
    <definedName name="Tax_rate">[1]Model!$M$15</definedName>
    <definedName name="wrn.Basic._.Report." hidden="1">{#N/A,#N/A,FALSE,"New Depr Sch-150% DB";#N/A,#N/A,FALSE,"Cash Flows RLP";#N/A,#N/A,FALSE,"IRR";#N/A,#N/A,FALSE,"Proforma IS";#N/A,#N/A,FALSE,"Assumptions"}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print." hidden="1">{#N/A,#N/A,FALSE,"Japan 2003";#N/A,#N/A,FALSE,"Sheet2"}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5" i="13" l="1"/>
  <c r="O34" i="13"/>
  <c r="O33" i="13"/>
  <c r="O21" i="13"/>
  <c r="O22" i="13" s="1"/>
  <c r="O19" i="13"/>
  <c r="O16" i="13"/>
  <c r="O17" i="13" s="1"/>
  <c r="O13" i="13"/>
  <c r="O12" i="13"/>
  <c r="O8" i="13"/>
  <c r="N35" i="13"/>
  <c r="N34" i="13"/>
  <c r="N33" i="13"/>
  <c r="N23" i="13"/>
  <c r="N22" i="13"/>
  <c r="N21" i="13"/>
  <c r="N19" i="13"/>
  <c r="N16" i="13"/>
  <c r="N17" i="13" s="1"/>
  <c r="N13" i="13"/>
  <c r="N8" i="13"/>
  <c r="N7" i="13"/>
  <c r="N6" i="13"/>
  <c r="E3" i="13"/>
  <c r="F3" i="13" s="1"/>
  <c r="G3" i="13" s="1"/>
  <c r="H3" i="13" s="1"/>
  <c r="I3" i="13" s="1"/>
  <c r="J3" i="13" s="1"/>
  <c r="K3" i="13" s="1"/>
  <c r="L3" i="13" s="1"/>
  <c r="M3" i="13" s="1"/>
  <c r="J9" i="12" l="1"/>
  <c r="J10" i="12" s="1"/>
  <c r="J7" i="12"/>
  <c r="J8" i="12" s="1"/>
  <c r="I8" i="12"/>
  <c r="I10" i="12"/>
  <c r="A1" i="12"/>
  <c r="E137" i="4"/>
  <c r="J144" i="4"/>
  <c r="K144" i="4"/>
  <c r="L144" i="4"/>
  <c r="M144" i="4"/>
  <c r="N144" i="4" s="1"/>
  <c r="H142" i="4"/>
  <c r="I144" i="4" s="1"/>
  <c r="N142" i="4" l="1"/>
  <c r="E138" i="4" l="1"/>
  <c r="K160" i="4" s="1"/>
  <c r="K166" i="4" s="1"/>
  <c r="E64" i="11" l="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A1" i="11"/>
  <c r="H20" i="10"/>
  <c r="H14" i="10"/>
  <c r="I25" i="7"/>
  <c r="G7" i="4"/>
  <c r="L46" i="4"/>
  <c r="M46" i="4" s="1"/>
  <c r="N46" i="4" s="1"/>
  <c r="O46" i="4" s="1"/>
  <c r="P46" i="4" s="1"/>
  <c r="Q46" i="4" s="1"/>
  <c r="K7" i="11" l="1"/>
  <c r="H9" i="11" s="1"/>
  <c r="H21" i="10" s="1"/>
  <c r="H22" i="10" s="1"/>
  <c r="H10" i="10"/>
  <c r="H13" i="10" s="1"/>
  <c r="H15" i="10" s="1"/>
  <c r="H24" i="10" l="1"/>
  <c r="L45" i="4"/>
  <c r="L112" i="4"/>
  <c r="K112" i="4"/>
  <c r="L111" i="4"/>
  <c r="K111" i="4"/>
  <c r="L110" i="4"/>
  <c r="K110" i="4"/>
  <c r="L109" i="4"/>
  <c r="K109" i="4"/>
  <c r="L101" i="4"/>
  <c r="K101" i="4"/>
  <c r="L97" i="4"/>
  <c r="K97" i="4"/>
  <c r="L96" i="4"/>
  <c r="K96" i="4"/>
  <c r="L95" i="4"/>
  <c r="K95" i="4"/>
  <c r="L94" i="4"/>
  <c r="K94" i="4"/>
  <c r="L90" i="4"/>
  <c r="K90" i="4"/>
  <c r="L89" i="4"/>
  <c r="K89" i="4"/>
  <c r="L88" i="4"/>
  <c r="K88" i="4"/>
  <c r="L87" i="4"/>
  <c r="K87" i="4"/>
  <c r="L86" i="4"/>
  <c r="K86" i="4"/>
  <c r="L85" i="4"/>
  <c r="K85" i="4"/>
  <c r="L80" i="4"/>
  <c r="K80" i="4"/>
  <c r="L79" i="4"/>
  <c r="K79" i="4"/>
  <c r="L78" i="4"/>
  <c r="K78" i="4"/>
  <c r="L70" i="4"/>
  <c r="M70" i="4" s="1"/>
  <c r="N70" i="4" s="1"/>
  <c r="O70" i="4" s="1"/>
  <c r="P70" i="4" s="1"/>
  <c r="Q70" i="4" s="1"/>
  <c r="K70" i="4"/>
  <c r="L68" i="4"/>
  <c r="K68" i="4"/>
  <c r="L67" i="4"/>
  <c r="K67" i="4"/>
  <c r="L64" i="4"/>
  <c r="M64" i="4" s="1"/>
  <c r="N64" i="4" s="1"/>
  <c r="O64" i="4" s="1"/>
  <c r="P64" i="4" s="1"/>
  <c r="Q64" i="4" s="1"/>
  <c r="K64" i="4"/>
  <c r="L63" i="4"/>
  <c r="K63" i="4"/>
  <c r="L61" i="4"/>
  <c r="M61" i="4" s="1"/>
  <c r="N61" i="4" s="1"/>
  <c r="O61" i="4" s="1"/>
  <c r="P61" i="4" s="1"/>
  <c r="Q61" i="4" s="1"/>
  <c r="K61" i="4"/>
  <c r="L60" i="4"/>
  <c r="K60" i="4"/>
  <c r="L55" i="4"/>
  <c r="M55" i="4" s="1"/>
  <c r="N55" i="4" s="1"/>
  <c r="O55" i="4" s="1"/>
  <c r="P55" i="4" s="1"/>
  <c r="Q55" i="4" s="1"/>
  <c r="K55" i="4"/>
  <c r="L54" i="4"/>
  <c r="K54" i="4"/>
  <c r="L53" i="4"/>
  <c r="M53" i="4" s="1"/>
  <c r="N53" i="4" s="1"/>
  <c r="O53" i="4" s="1"/>
  <c r="P53" i="4" s="1"/>
  <c r="Q53" i="4" s="1"/>
  <c r="K53" i="4"/>
  <c r="L52" i="4"/>
  <c r="L119" i="4" s="1"/>
  <c r="K52" i="4"/>
  <c r="K119" i="4" s="1"/>
  <c r="L49" i="4"/>
  <c r="M49" i="4" s="1"/>
  <c r="N49" i="4" s="1"/>
  <c r="O49" i="4" s="1"/>
  <c r="P49" i="4" s="1"/>
  <c r="Q49" i="4" s="1"/>
  <c r="K49" i="4"/>
  <c r="L48" i="4"/>
  <c r="H7" i="13" s="1"/>
  <c r="K48" i="4"/>
  <c r="G7" i="13" s="1"/>
  <c r="L47" i="4"/>
  <c r="K47" i="4"/>
  <c r="K46" i="4"/>
  <c r="K45" i="4"/>
  <c r="L37" i="4"/>
  <c r="K37" i="4"/>
  <c r="L35" i="4"/>
  <c r="K35" i="4"/>
  <c r="L34" i="4"/>
  <c r="L125" i="4" s="1"/>
  <c r="K34" i="4"/>
  <c r="K125" i="4" s="1"/>
  <c r="L32" i="4"/>
  <c r="L118" i="4" s="1"/>
  <c r="K32" i="4"/>
  <c r="K118" i="4" s="1"/>
  <c r="L30" i="4"/>
  <c r="L11" i="4" s="1"/>
  <c r="K30" i="4"/>
  <c r="L29" i="4"/>
  <c r="K29" i="4"/>
  <c r="L26" i="4"/>
  <c r="K26" i="4"/>
  <c r="L25" i="4"/>
  <c r="K25" i="4"/>
  <c r="M31" i="3"/>
  <c r="N31" i="3"/>
  <c r="E7" i="9"/>
  <c r="E9" i="9" s="1"/>
  <c r="L124" i="4" l="1"/>
  <c r="E162" i="4" s="1"/>
  <c r="K161" i="4" s="1"/>
  <c r="H11" i="13"/>
  <c r="G16" i="13"/>
  <c r="G17" i="13" s="1"/>
  <c r="G6" i="13"/>
  <c r="G8" i="13"/>
  <c r="G23" i="13"/>
  <c r="H16" i="13"/>
  <c r="H17" i="13" s="1"/>
  <c r="K124" i="4"/>
  <c r="H23" i="13"/>
  <c r="H8" i="13"/>
  <c r="H6" i="13"/>
  <c r="H18" i="13"/>
  <c r="H19" i="13" s="1"/>
  <c r="H21" i="13"/>
  <c r="H22" i="13" s="1"/>
  <c r="K27" i="4"/>
  <c r="K69" i="4"/>
  <c r="G11" i="13" s="1"/>
  <c r="M116" i="4"/>
  <c r="E161" i="4"/>
  <c r="K163" i="4" s="1"/>
  <c r="L27" i="4"/>
  <c r="L31" i="4" s="1"/>
  <c r="K31" i="4"/>
  <c r="K65" i="4"/>
  <c r="K98" i="4"/>
  <c r="L10" i="4"/>
  <c r="L14" i="4"/>
  <c r="L18" i="4"/>
  <c r="K11" i="4"/>
  <c r="L19" i="4"/>
  <c r="K9" i="4"/>
  <c r="K17" i="4"/>
  <c r="L9" i="4"/>
  <c r="K10" i="4"/>
  <c r="K14" i="4"/>
  <c r="K18" i="4"/>
  <c r="L98" i="4"/>
  <c r="L8" i="4"/>
  <c r="K113" i="4"/>
  <c r="K81" i="4" s="1"/>
  <c r="K82" i="4" s="1"/>
  <c r="L20" i="4"/>
  <c r="M20" i="4" s="1"/>
  <c r="N20" i="4" s="1"/>
  <c r="O20" i="4" s="1"/>
  <c r="P20" i="4" s="1"/>
  <c r="Q20" i="4" s="1"/>
  <c r="Q112" i="4"/>
  <c r="L69" i="4"/>
  <c r="M67" i="4"/>
  <c r="N67" i="4" s="1"/>
  <c r="O67" i="4" s="1"/>
  <c r="P67" i="4" s="1"/>
  <c r="Q67" i="4" s="1"/>
  <c r="L17" i="4"/>
  <c r="L113" i="4"/>
  <c r="L81" i="4" s="1"/>
  <c r="L82" i="4" s="1"/>
  <c r="K91" i="4"/>
  <c r="K19" i="4"/>
  <c r="L56" i="4"/>
  <c r="M54" i="4"/>
  <c r="M122" i="4"/>
  <c r="M124" i="4" s="1"/>
  <c r="L91" i="4"/>
  <c r="K20" i="4"/>
  <c r="P112" i="4"/>
  <c r="L65" i="4"/>
  <c r="K56" i="4"/>
  <c r="L122" i="4"/>
  <c r="L123" i="4" s="1"/>
  <c r="L116" i="4"/>
  <c r="L12" i="4" s="1"/>
  <c r="A1" i="10"/>
  <c r="A1" i="9"/>
  <c r="I27" i="7"/>
  <c r="I26" i="7"/>
  <c r="K27" i="7"/>
  <c r="K26" i="7"/>
  <c r="K25" i="7"/>
  <c r="J22" i="7"/>
  <c r="U22" i="7" s="1"/>
  <c r="J17" i="7"/>
  <c r="J16" i="7"/>
  <c r="U16" i="7" s="1"/>
  <c r="J15" i="7"/>
  <c r="M15" i="7" s="1"/>
  <c r="J14" i="7"/>
  <c r="M14" i="7" s="1"/>
  <c r="J13" i="7"/>
  <c r="U13" i="7" s="1"/>
  <c r="J12" i="7"/>
  <c r="J11" i="7"/>
  <c r="M11" i="7" s="1"/>
  <c r="J10" i="7"/>
  <c r="U10" i="7" s="1"/>
  <c r="J9" i="7"/>
  <c r="J8" i="7"/>
  <c r="E10" i="8"/>
  <c r="H10" i="8" s="1"/>
  <c r="O10" i="8" s="1"/>
  <c r="E12" i="8"/>
  <c r="H12" i="8" s="1"/>
  <c r="P12" i="8" s="1"/>
  <c r="E9" i="8"/>
  <c r="H9" i="8" s="1"/>
  <c r="O9" i="8" s="1"/>
  <c r="E11" i="8"/>
  <c r="H11" i="8" s="1"/>
  <c r="O11" i="8" s="1"/>
  <c r="E5" i="8"/>
  <c r="H5" i="8" s="1"/>
  <c r="P5" i="8" s="1"/>
  <c r="E6" i="8"/>
  <c r="H6" i="8" s="1"/>
  <c r="O6" i="8" s="1"/>
  <c r="E16" i="8"/>
  <c r="H16" i="8" s="1"/>
  <c r="O16" i="8" s="1"/>
  <c r="E7" i="8"/>
  <c r="H7" i="8" s="1"/>
  <c r="O7" i="8" s="1"/>
  <c r="E4" i="8"/>
  <c r="H4" i="8" s="1"/>
  <c r="O4" i="8" s="1"/>
  <c r="E8" i="8"/>
  <c r="H8" i="8" s="1"/>
  <c r="O8" i="8" s="1"/>
  <c r="E3" i="8"/>
  <c r="G34" i="13" l="1"/>
  <c r="G33" i="13"/>
  <c r="G35" i="13"/>
  <c r="L33" i="4"/>
  <c r="H27" i="13"/>
  <c r="H33" i="13"/>
  <c r="H34" i="13"/>
  <c r="H35" i="13"/>
  <c r="O5" i="8"/>
  <c r="H3" i="8"/>
  <c r="Q3" i="8"/>
  <c r="H13" i="13"/>
  <c r="K33" i="4"/>
  <c r="G27" i="13"/>
  <c r="G13" i="13"/>
  <c r="K71" i="4"/>
  <c r="H20" i="13"/>
  <c r="H9" i="16" s="1"/>
  <c r="E163" i="4"/>
  <c r="K162" i="4" s="1"/>
  <c r="K164" i="4" s="1"/>
  <c r="L100" i="4"/>
  <c r="L102" i="4" s="1"/>
  <c r="M101" i="4" s="1"/>
  <c r="L117" i="4"/>
  <c r="U15" i="7"/>
  <c r="U14" i="7"/>
  <c r="M8" i="7"/>
  <c r="U12" i="7"/>
  <c r="M16" i="7"/>
  <c r="S16" i="7" s="1"/>
  <c r="S14" i="7"/>
  <c r="T14" i="7"/>
  <c r="S11" i="7"/>
  <c r="T11" i="7"/>
  <c r="T15" i="7"/>
  <c r="S15" i="7"/>
  <c r="U17" i="7"/>
  <c r="U9" i="7"/>
  <c r="M12" i="7"/>
  <c r="U11" i="7"/>
  <c r="M13" i="7"/>
  <c r="M9" i="7"/>
  <c r="M17" i="7"/>
  <c r="M10" i="7"/>
  <c r="S8" i="7"/>
  <c r="T8" i="7"/>
  <c r="U8" i="7"/>
  <c r="K100" i="4"/>
  <c r="K102" i="4" s="1"/>
  <c r="L71" i="4"/>
  <c r="L73" i="4" s="1"/>
  <c r="L13" i="4"/>
  <c r="N54" i="4"/>
  <c r="O54" i="4" s="1"/>
  <c r="K73" i="4"/>
  <c r="O12" i="8"/>
  <c r="Q12" i="8"/>
  <c r="P6" i="8"/>
  <c r="P8" i="8"/>
  <c r="Q5" i="8"/>
  <c r="Q8" i="8"/>
  <c r="Q9" i="8"/>
  <c r="P11" i="8"/>
  <c r="M22" i="7"/>
  <c r="P9" i="8"/>
  <c r="Q11" i="8"/>
  <c r="P4" i="8"/>
  <c r="Q6" i="8"/>
  <c r="P7" i="8"/>
  <c r="Q16" i="8"/>
  <c r="Q4" i="8"/>
  <c r="P10" i="8"/>
  <c r="Q7" i="8"/>
  <c r="P16" i="8"/>
  <c r="Q10" i="8"/>
  <c r="P3" i="8" l="1"/>
  <c r="P14" i="8" s="1"/>
  <c r="O3" i="8"/>
  <c r="L36" i="4"/>
  <c r="H12" i="13"/>
  <c r="K36" i="4"/>
  <c r="G12" i="13"/>
  <c r="T16" i="7"/>
  <c r="T9" i="7"/>
  <c r="S9" i="7"/>
  <c r="T13" i="7"/>
  <c r="S13" i="7"/>
  <c r="S17" i="7"/>
  <c r="T17" i="7"/>
  <c r="S12" i="7"/>
  <c r="T12" i="7"/>
  <c r="S10" i="7"/>
  <c r="T10" i="7"/>
  <c r="U20" i="7"/>
  <c r="E27" i="7" s="1"/>
  <c r="J27" i="7" s="1"/>
  <c r="U19" i="7"/>
  <c r="P54" i="4"/>
  <c r="P87" i="4" s="1"/>
  <c r="P13" i="8"/>
  <c r="S22" i="7"/>
  <c r="T22" i="7"/>
  <c r="Q14" i="8"/>
  <c r="Q13" i="8"/>
  <c r="L38" i="4" l="1"/>
  <c r="L15" i="4"/>
  <c r="O14" i="8"/>
  <c r="O13" i="8"/>
  <c r="H27" i="7"/>
  <c r="L27" i="7"/>
  <c r="O161" i="4" s="1"/>
  <c r="K38" i="4"/>
  <c r="K15" i="4"/>
  <c r="E136" i="4"/>
  <c r="S19" i="7"/>
  <c r="T19" i="7"/>
  <c r="T20" i="7"/>
  <c r="E26" i="7" s="1"/>
  <c r="H26" i="7" s="1"/>
  <c r="S20" i="7"/>
  <c r="Q54" i="4"/>
  <c r="Q87" i="4" s="1"/>
  <c r="A1" i="7"/>
  <c r="K16" i="4" l="1"/>
  <c r="G8" i="16"/>
  <c r="G30" i="13"/>
  <c r="G26" i="13"/>
  <c r="G29" i="13"/>
  <c r="E25" i="7"/>
  <c r="H25" i="7" s="1"/>
  <c r="J25" i="7" s="1"/>
  <c r="L25" i="7" s="1"/>
  <c r="E134" i="4"/>
  <c r="L16" i="4"/>
  <c r="H26" i="13"/>
  <c r="H29" i="13"/>
  <c r="H30" i="13"/>
  <c r="H28" i="13"/>
  <c r="H8" i="16"/>
  <c r="H12" i="16" s="1"/>
  <c r="J26" i="7"/>
  <c r="L26" i="7" s="1"/>
  <c r="J101" i="4"/>
  <c r="O87" i="4"/>
  <c r="N87" i="4"/>
  <c r="O112" i="4"/>
  <c r="N112" i="4"/>
  <c r="M112" i="4"/>
  <c r="N157" i="3"/>
  <c r="O157" i="3" s="1"/>
  <c r="N156" i="3"/>
  <c r="O156" i="3" s="1"/>
  <c r="N155" i="3"/>
  <c r="O155" i="3" s="1"/>
  <c r="Q162" i="3"/>
  <c r="P162" i="3"/>
  <c r="O162" i="3"/>
  <c r="A1" i="6"/>
  <c r="A1" i="1"/>
  <c r="H112" i="4"/>
  <c r="I112" i="4"/>
  <c r="J112" i="4"/>
  <c r="H111" i="4"/>
  <c r="I111" i="4"/>
  <c r="J111" i="4"/>
  <c r="H110" i="4"/>
  <c r="I110" i="4"/>
  <c r="J110" i="4"/>
  <c r="H109" i="4"/>
  <c r="I109" i="4"/>
  <c r="J109" i="4"/>
  <c r="H101" i="4"/>
  <c r="I101" i="4"/>
  <c r="H97" i="4"/>
  <c r="I97" i="4"/>
  <c r="J97" i="4"/>
  <c r="H96" i="4"/>
  <c r="I96" i="4"/>
  <c r="J96" i="4"/>
  <c r="H95" i="4"/>
  <c r="I95" i="4"/>
  <c r="J95" i="4"/>
  <c r="H94" i="4"/>
  <c r="I94" i="4"/>
  <c r="J94" i="4"/>
  <c r="H88" i="4"/>
  <c r="I88" i="4"/>
  <c r="J88" i="4"/>
  <c r="H89" i="4"/>
  <c r="I89" i="4"/>
  <c r="J89" i="4"/>
  <c r="H90" i="4"/>
  <c r="I90" i="4"/>
  <c r="J90" i="4"/>
  <c r="H87" i="4"/>
  <c r="I87" i="4"/>
  <c r="J87" i="4"/>
  <c r="H86" i="4"/>
  <c r="I86" i="4"/>
  <c r="J86" i="4"/>
  <c r="H85" i="4"/>
  <c r="I85" i="4"/>
  <c r="J85" i="4"/>
  <c r="H80" i="4"/>
  <c r="I80" i="4"/>
  <c r="J80" i="4"/>
  <c r="H79" i="4"/>
  <c r="I79" i="4"/>
  <c r="J79" i="4"/>
  <c r="J78" i="4"/>
  <c r="I78" i="4"/>
  <c r="H78" i="4"/>
  <c r="H9" i="12" l="1"/>
  <c r="H10" i="12" s="1"/>
  <c r="H7" i="12"/>
  <c r="H8" i="12" s="1"/>
  <c r="R162" i="3"/>
  <c r="R161" i="3" s="1"/>
  <c r="S161" i="3" s="1"/>
  <c r="I113" i="4"/>
  <c r="I81" i="4" s="1"/>
  <c r="I82" i="4" s="1"/>
  <c r="O158" i="3"/>
  <c r="J113" i="4"/>
  <c r="J81" i="4" s="1"/>
  <c r="J82" i="4" s="1"/>
  <c r="H113" i="4"/>
  <c r="H81" i="4" s="1"/>
  <c r="H82" i="4" s="1"/>
  <c r="I98" i="4"/>
  <c r="J91" i="4"/>
  <c r="I91" i="4"/>
  <c r="J98" i="4"/>
  <c r="H98" i="4"/>
  <c r="H91" i="4"/>
  <c r="H70" i="4"/>
  <c r="I70" i="4"/>
  <c r="J70" i="4"/>
  <c r="H68" i="4"/>
  <c r="I68" i="4"/>
  <c r="J68" i="4"/>
  <c r="H67" i="4"/>
  <c r="I67" i="4"/>
  <c r="J67" i="4"/>
  <c r="H64" i="4"/>
  <c r="I64" i="4"/>
  <c r="J64" i="4"/>
  <c r="D33" i="13" l="1"/>
  <c r="H100" i="4"/>
  <c r="H102" i="4" s="1"/>
  <c r="I100" i="4"/>
  <c r="I102" i="4" s="1"/>
  <c r="J100" i="4"/>
  <c r="J102" i="4" s="1"/>
  <c r="I69" i="4"/>
  <c r="H69" i="4"/>
  <c r="J69" i="4"/>
  <c r="H63" i="4"/>
  <c r="I63" i="4"/>
  <c r="J63" i="4"/>
  <c r="H61" i="4"/>
  <c r="I61" i="4"/>
  <c r="J61" i="4"/>
  <c r="H60" i="4"/>
  <c r="I60" i="4"/>
  <c r="J60" i="4"/>
  <c r="G21" i="13" s="1"/>
  <c r="G22" i="13" s="1"/>
  <c r="H55" i="4"/>
  <c r="I55" i="4"/>
  <c r="J55" i="4"/>
  <c r="H54" i="4"/>
  <c r="I54" i="4"/>
  <c r="J54" i="4"/>
  <c r="H53" i="4"/>
  <c r="I53" i="4"/>
  <c r="J53" i="4"/>
  <c r="H52" i="4"/>
  <c r="H119" i="4" s="1"/>
  <c r="I52" i="4"/>
  <c r="I119" i="4" s="1"/>
  <c r="J52" i="4"/>
  <c r="J119" i="4" s="1"/>
  <c r="K116" i="4" s="1"/>
  <c r="H49" i="4"/>
  <c r="I49" i="4"/>
  <c r="J49" i="4"/>
  <c r="H48" i="4"/>
  <c r="I48" i="4"/>
  <c r="J48" i="4"/>
  <c r="H47" i="4"/>
  <c r="I47" i="4"/>
  <c r="J47" i="4"/>
  <c r="H46" i="4"/>
  <c r="I46" i="4"/>
  <c r="J46" i="4"/>
  <c r="H45" i="4"/>
  <c r="I45" i="4"/>
  <c r="J45" i="4"/>
  <c r="H37" i="4"/>
  <c r="I37" i="4"/>
  <c r="J37" i="4"/>
  <c r="H35" i="4"/>
  <c r="I35" i="4"/>
  <c r="J35" i="4"/>
  <c r="H34" i="4"/>
  <c r="I34" i="4"/>
  <c r="J34" i="4"/>
  <c r="H32" i="4"/>
  <c r="I32" i="4"/>
  <c r="J32" i="4"/>
  <c r="H30" i="4"/>
  <c r="I30" i="4"/>
  <c r="J30" i="4"/>
  <c r="H29" i="4"/>
  <c r="I29" i="4"/>
  <c r="J29" i="4"/>
  <c r="H26" i="4"/>
  <c r="I26" i="4"/>
  <c r="J26" i="4"/>
  <c r="J25" i="4"/>
  <c r="I25" i="4"/>
  <c r="E33" i="13" s="1"/>
  <c r="H25" i="4"/>
  <c r="J2" i="4"/>
  <c r="K2" i="4" s="1"/>
  <c r="I2" i="4"/>
  <c r="H2" i="4"/>
  <c r="A1" i="4"/>
  <c r="M158" i="3"/>
  <c r="L158" i="3"/>
  <c r="K158" i="3"/>
  <c r="L31" i="3"/>
  <c r="K31" i="3"/>
  <c r="J31" i="3"/>
  <c r="I31" i="3"/>
  <c r="H31" i="3"/>
  <c r="D16" i="13" l="1"/>
  <c r="D17" i="13" s="1"/>
  <c r="F8" i="13"/>
  <c r="F23" i="13"/>
  <c r="F6" i="13"/>
  <c r="G20" i="13"/>
  <c r="G9" i="16" s="1"/>
  <c r="G12" i="16" s="1"/>
  <c r="F11" i="13"/>
  <c r="F7" i="13"/>
  <c r="G18" i="13"/>
  <c r="G19" i="13" s="1"/>
  <c r="K8" i="4"/>
  <c r="F16" i="13"/>
  <c r="F17" i="13" s="1"/>
  <c r="D23" i="13"/>
  <c r="D8" i="13"/>
  <c r="D6" i="13"/>
  <c r="E7" i="13"/>
  <c r="I124" i="4"/>
  <c r="J122" i="4" s="1"/>
  <c r="E11" i="13"/>
  <c r="D21" i="13"/>
  <c r="D22" i="13" s="1"/>
  <c r="D18" i="13"/>
  <c r="D19" i="13" s="1"/>
  <c r="E23" i="13"/>
  <c r="E6" i="13"/>
  <c r="E8" i="13"/>
  <c r="F21" i="13"/>
  <c r="F22" i="13" s="1"/>
  <c r="F18" i="13"/>
  <c r="F19" i="13" s="1"/>
  <c r="D7" i="13"/>
  <c r="H124" i="4"/>
  <c r="I122" i="4" s="1"/>
  <c r="I123" i="4" s="1"/>
  <c r="D11" i="13"/>
  <c r="E16" i="13"/>
  <c r="E17" i="13" s="1"/>
  <c r="E18" i="13"/>
  <c r="E19" i="13" s="1"/>
  <c r="E21" i="13"/>
  <c r="E22" i="13" s="1"/>
  <c r="F13" i="13"/>
  <c r="F33" i="13"/>
  <c r="J124" i="4"/>
  <c r="K122" i="4" s="1"/>
  <c r="K12" i="4"/>
  <c r="K117" i="4"/>
  <c r="H10" i="4"/>
  <c r="H17" i="4"/>
  <c r="I9" i="4"/>
  <c r="J20" i="4"/>
  <c r="J8" i="4"/>
  <c r="I118" i="4"/>
  <c r="L2" i="4"/>
  <c r="H4" i="6"/>
  <c r="H118" i="4"/>
  <c r="J14" i="4"/>
  <c r="I19" i="4"/>
  <c r="H9" i="4"/>
  <c r="J11" i="4"/>
  <c r="I14" i="4"/>
  <c r="J18" i="4"/>
  <c r="H19" i="4"/>
  <c r="I11" i="4"/>
  <c r="H14" i="4"/>
  <c r="I18" i="4"/>
  <c r="J118" i="4"/>
  <c r="J9" i="4"/>
  <c r="H11" i="4"/>
  <c r="J125" i="4"/>
  <c r="H18" i="4"/>
  <c r="H20" i="4"/>
  <c r="J10" i="4"/>
  <c r="I125" i="4"/>
  <c r="J17" i="4"/>
  <c r="J19" i="4"/>
  <c r="I20" i="4"/>
  <c r="I8" i="4"/>
  <c r="I10" i="4"/>
  <c r="H125" i="4"/>
  <c r="I17" i="4"/>
  <c r="J116" i="4"/>
  <c r="J12" i="4" s="1"/>
  <c r="I116" i="4"/>
  <c r="I117" i="4" s="1"/>
  <c r="H27" i="4"/>
  <c r="H31" i="4" s="1"/>
  <c r="I27" i="4"/>
  <c r="I31" i="4" s="1"/>
  <c r="J27" i="4"/>
  <c r="J31" i="4" s="1"/>
  <c r="J56" i="4"/>
  <c r="I56" i="4"/>
  <c r="E34" i="13" s="1"/>
  <c r="H56" i="4"/>
  <c r="D34" i="13" s="1"/>
  <c r="J65" i="4"/>
  <c r="J71" i="4" s="1"/>
  <c r="I65" i="4"/>
  <c r="I71" i="4" s="1"/>
  <c r="H65" i="4"/>
  <c r="H71" i="4" s="1"/>
  <c r="J33" i="4" l="1"/>
  <c r="F27" i="13"/>
  <c r="E20" i="13"/>
  <c r="E9" i="16" s="1"/>
  <c r="D20" i="13"/>
  <c r="D9" i="16" s="1"/>
  <c r="G28" i="13"/>
  <c r="F34" i="13"/>
  <c r="I33" i="4"/>
  <c r="E27" i="13"/>
  <c r="H33" i="4"/>
  <c r="D27" i="13"/>
  <c r="F20" i="13"/>
  <c r="F9" i="16" s="1"/>
  <c r="E13" i="13"/>
  <c r="D13" i="13"/>
  <c r="M9" i="4"/>
  <c r="K13" i="4"/>
  <c r="K123" i="4"/>
  <c r="J123" i="4"/>
  <c r="Q9" i="4"/>
  <c r="P9" i="4"/>
  <c r="O9" i="4"/>
  <c r="N9" i="4"/>
  <c r="E7" i="6"/>
  <c r="H7" i="6" s="1"/>
  <c r="I7" i="6" s="1"/>
  <c r="J7" i="6" s="1"/>
  <c r="K7" i="6" s="1"/>
  <c r="L7" i="6" s="1"/>
  <c r="E6" i="6"/>
  <c r="H6" i="6" s="1"/>
  <c r="E5" i="6"/>
  <c r="P14" i="4"/>
  <c r="O14" i="4"/>
  <c r="N14" i="4"/>
  <c r="M14" i="4"/>
  <c r="Q14" i="4"/>
  <c r="Q17" i="4"/>
  <c r="P17" i="4"/>
  <c r="O17" i="4"/>
  <c r="N17" i="4"/>
  <c r="M17" i="4"/>
  <c r="Q10" i="4"/>
  <c r="O10" i="4"/>
  <c r="M10" i="4"/>
  <c r="P10" i="4"/>
  <c r="N10" i="4"/>
  <c r="M18" i="4"/>
  <c r="Q18" i="4"/>
  <c r="O18" i="4"/>
  <c r="P18" i="4"/>
  <c r="N18" i="4"/>
  <c r="O19" i="4"/>
  <c r="N19" i="4"/>
  <c r="M19" i="4"/>
  <c r="P19" i="4"/>
  <c r="Q19" i="4"/>
  <c r="O11" i="4"/>
  <c r="N11" i="4"/>
  <c r="M11" i="4"/>
  <c r="Q11" i="4"/>
  <c r="P11" i="4"/>
  <c r="J13" i="4"/>
  <c r="M2" i="4"/>
  <c r="I4" i="6"/>
  <c r="I12" i="4"/>
  <c r="M12" i="4" s="1"/>
  <c r="J117" i="4"/>
  <c r="I13" i="4"/>
  <c r="J73" i="4"/>
  <c r="J3" i="4" s="1"/>
  <c r="H73" i="4"/>
  <c r="H3" i="4" s="1"/>
  <c r="I73" i="4"/>
  <c r="I3" i="4" s="1"/>
  <c r="H36" i="4" l="1"/>
  <c r="D12" i="13"/>
  <c r="D35" i="13"/>
  <c r="J36" i="4"/>
  <c r="F12" i="13"/>
  <c r="F35" i="13"/>
  <c r="I36" i="4"/>
  <c r="E12" i="13"/>
  <c r="E35" i="13"/>
  <c r="N12" i="4"/>
  <c r="O12" i="4"/>
  <c r="P12" i="4"/>
  <c r="Q12" i="4"/>
  <c r="M13" i="4"/>
  <c r="P13" i="4"/>
  <c r="Q13" i="4"/>
  <c r="O13" i="4"/>
  <c r="N13" i="4"/>
  <c r="H5" i="6"/>
  <c r="I5" i="6" s="1"/>
  <c r="I6" i="6"/>
  <c r="J6" i="6" s="1"/>
  <c r="K6" i="6" s="1"/>
  <c r="L6" i="6" s="1"/>
  <c r="N2" i="4"/>
  <c r="J4" i="6"/>
  <c r="J38" i="4" l="1"/>
  <c r="J15" i="4"/>
  <c r="I38" i="4"/>
  <c r="I15" i="4"/>
  <c r="H38" i="4"/>
  <c r="H15" i="4"/>
  <c r="J5" i="6"/>
  <c r="K5" i="6" s="1"/>
  <c r="L5" i="6" s="1"/>
  <c r="M8" i="4" a="1"/>
  <c r="O2" i="4"/>
  <c r="K4" i="6"/>
  <c r="P15" i="4" l="1"/>
  <c r="M15" i="4"/>
  <c r="O15" i="4"/>
  <c r="N15" i="4"/>
  <c r="Q15" i="4"/>
  <c r="H16" i="4"/>
  <c r="D30" i="13"/>
  <c r="D29" i="13"/>
  <c r="D8" i="16"/>
  <c r="D12" i="16" s="1"/>
  <c r="D26" i="13"/>
  <c r="D28" i="13"/>
  <c r="I16" i="4"/>
  <c r="E29" i="13"/>
  <c r="E30" i="13"/>
  <c r="E26" i="13"/>
  <c r="E8" i="16"/>
  <c r="E12" i="16" s="1"/>
  <c r="E28" i="13"/>
  <c r="J16" i="4"/>
  <c r="F28" i="13"/>
  <c r="F29" i="13"/>
  <c r="F8" i="16"/>
  <c r="F12" i="16" s="1"/>
  <c r="F26" i="13"/>
  <c r="F30" i="13"/>
  <c r="L4" i="6"/>
  <c r="P2" i="4"/>
  <c r="Q2" i="4" s="1"/>
  <c r="M8" i="4"/>
  <c r="M25" i="4" s="1"/>
  <c r="Q8" i="4"/>
  <c r="P8" i="4"/>
  <c r="O8" i="4"/>
  <c r="N8" i="4"/>
  <c r="O16" i="4" l="1"/>
  <c r="M16" i="4"/>
  <c r="Q16" i="4"/>
  <c r="P16" i="4"/>
  <c r="N16" i="4"/>
  <c r="I16" i="13"/>
  <c r="I17" i="13" s="1"/>
  <c r="M47" i="4"/>
  <c r="M109" i="4" s="1"/>
  <c r="M117" i="4"/>
  <c r="M29" i="4"/>
  <c r="M26" i="4"/>
  <c r="M30" i="4"/>
  <c r="M35" i="4"/>
  <c r="M89" i="4" s="1"/>
  <c r="N25" i="4"/>
  <c r="N47" i="4" l="1"/>
  <c r="N109" i="4" s="1"/>
  <c r="J16" i="13"/>
  <c r="J17" i="13" s="1"/>
  <c r="I21" i="13"/>
  <c r="I22" i="13" s="1"/>
  <c r="I18" i="13"/>
  <c r="I19" i="13" s="1"/>
  <c r="M85" i="4"/>
  <c r="M91" i="4" s="1"/>
  <c r="I150" i="4"/>
  <c r="M27" i="4"/>
  <c r="M31" i="4" s="1"/>
  <c r="I27" i="13" s="1"/>
  <c r="M60" i="4"/>
  <c r="M48" i="4"/>
  <c r="N117" i="4"/>
  <c r="N30" i="4"/>
  <c r="N35" i="4"/>
  <c r="O25" i="4"/>
  <c r="N26" i="4"/>
  <c r="N29" i="4"/>
  <c r="M110" i="4" l="1"/>
  <c r="K16" i="13"/>
  <c r="K17" i="13" s="1"/>
  <c r="N27" i="4"/>
  <c r="J21" i="13"/>
  <c r="J22" i="13" s="1"/>
  <c r="N85" i="4"/>
  <c r="J150" i="4"/>
  <c r="O47" i="4"/>
  <c r="O109" i="4" s="1"/>
  <c r="P25" i="4"/>
  <c r="M111" i="4"/>
  <c r="M113" i="4" s="1"/>
  <c r="N31" i="4"/>
  <c r="J27" i="13" s="1"/>
  <c r="O117" i="4"/>
  <c r="O26" i="4"/>
  <c r="N89" i="4"/>
  <c r="N91" i="4" s="1"/>
  <c r="O30" i="4"/>
  <c r="O35" i="4"/>
  <c r="N60" i="4"/>
  <c r="N111" i="4" s="1"/>
  <c r="N48" i="4"/>
  <c r="O29" i="4"/>
  <c r="N110" i="4" l="1"/>
  <c r="O48" i="4"/>
  <c r="K21" i="13"/>
  <c r="K22" i="13" s="1"/>
  <c r="J18" i="13"/>
  <c r="J19" i="13" s="1"/>
  <c r="O85" i="4"/>
  <c r="K150" i="4"/>
  <c r="M81" i="4"/>
  <c r="I151" i="4"/>
  <c r="M118" i="4"/>
  <c r="M119" i="4" s="1"/>
  <c r="M52" i="4" s="1"/>
  <c r="Q25" i="4"/>
  <c r="P26" i="4"/>
  <c r="P117" i="4"/>
  <c r="P30" i="4"/>
  <c r="P35" i="4"/>
  <c r="P47" i="4"/>
  <c r="L16" i="13" s="1"/>
  <c r="L17" i="13" s="1"/>
  <c r="P29" i="4"/>
  <c r="O60" i="4"/>
  <c r="O111" i="4" s="1"/>
  <c r="O27" i="4"/>
  <c r="O31" i="4" s="1"/>
  <c r="K27" i="13" s="1"/>
  <c r="O89" i="4"/>
  <c r="K3" i="4"/>
  <c r="N113" i="4"/>
  <c r="M16" i="13" l="1"/>
  <c r="M17" i="13" s="1"/>
  <c r="O110" i="4"/>
  <c r="O113" i="4" s="1"/>
  <c r="K18" i="13"/>
  <c r="K19" i="13" s="1"/>
  <c r="O91" i="4"/>
  <c r="P85" i="4"/>
  <c r="L150" i="4"/>
  <c r="N81" i="4"/>
  <c r="J151" i="4"/>
  <c r="P27" i="4"/>
  <c r="P31" i="4" s="1"/>
  <c r="L27" i="13" s="1"/>
  <c r="P60" i="4"/>
  <c r="L21" i="13" s="1"/>
  <c r="L22" i="13" s="1"/>
  <c r="P48" i="4"/>
  <c r="P109" i="4"/>
  <c r="P89" i="4"/>
  <c r="P91" i="4" s="1"/>
  <c r="Q47" i="4"/>
  <c r="Q109" i="4" s="1"/>
  <c r="Q26" i="4"/>
  <c r="Q29" i="4"/>
  <c r="Q30" i="4"/>
  <c r="Q35" i="4"/>
  <c r="Q117" i="4"/>
  <c r="N116" i="4"/>
  <c r="M32" i="4"/>
  <c r="M33" i="4" s="1"/>
  <c r="M79" i="4"/>
  <c r="I149" i="4" s="1"/>
  <c r="I146" i="4" l="1"/>
  <c r="P110" i="4"/>
  <c r="L18" i="13"/>
  <c r="L19" i="13" s="1"/>
  <c r="M18" i="13"/>
  <c r="M19" i="13" s="1"/>
  <c r="M21" i="13"/>
  <c r="M22" i="13" s="1"/>
  <c r="Q85" i="4"/>
  <c r="M150" i="4"/>
  <c r="O81" i="4"/>
  <c r="K151" i="4"/>
  <c r="I147" i="4"/>
  <c r="I148" i="4" s="1"/>
  <c r="I152" i="4" s="1"/>
  <c r="P111" i="4"/>
  <c r="P113" i="4" s="1"/>
  <c r="Q89" i="4"/>
  <c r="Q27" i="4"/>
  <c r="Q31" i="4" s="1"/>
  <c r="M27" i="13" s="1"/>
  <c r="Q48" i="4"/>
  <c r="Q60" i="4"/>
  <c r="L3" i="4"/>
  <c r="N118" i="4"/>
  <c r="Q110" i="4" l="1"/>
  <c r="Q91" i="4"/>
  <c r="I154" i="4"/>
  <c r="P81" i="4"/>
  <c r="L151" i="4"/>
  <c r="Q111" i="4"/>
  <c r="Q113" i="4" s="1"/>
  <c r="N32" i="4"/>
  <c r="N33" i="4" s="1"/>
  <c r="N79" i="4"/>
  <c r="J149" i="4" s="1"/>
  <c r="N119" i="4"/>
  <c r="J146" i="4" l="1"/>
  <c r="J147" i="4" s="1"/>
  <c r="J148" i="4" s="1"/>
  <c r="J152" i="4"/>
  <c r="J154" i="4" s="1"/>
  <c r="Q81" i="4"/>
  <c r="M151" i="4"/>
  <c r="O116" i="4"/>
  <c r="N52" i="4"/>
  <c r="O118" i="4" l="1"/>
  <c r="O32" i="4" l="1"/>
  <c r="O33" i="4" s="1"/>
  <c r="O79" i="4"/>
  <c r="K149" i="4" s="1"/>
  <c r="O119" i="4"/>
  <c r="K146" i="4" l="1"/>
  <c r="K147" i="4" s="1"/>
  <c r="K148" i="4" s="1"/>
  <c r="K152" i="4"/>
  <c r="K154" i="4" s="1"/>
  <c r="O52" i="4"/>
  <c r="P116" i="4"/>
  <c r="P118" i="4" l="1"/>
  <c r="P32" i="4" s="1"/>
  <c r="P119" i="4" l="1"/>
  <c r="Q116" i="4" s="1"/>
  <c r="P33" i="4"/>
  <c r="P79" i="4"/>
  <c r="L149" i="4" s="1"/>
  <c r="L146" i="4" l="1"/>
  <c r="L147" i="4" s="1"/>
  <c r="L148" i="4" s="1"/>
  <c r="L152" i="4"/>
  <c r="P52" i="4"/>
  <c r="Q118" i="4"/>
  <c r="Q119" i="4" s="1"/>
  <c r="Q52" i="4" s="1"/>
  <c r="L154" i="4" l="1"/>
  <c r="Q32" i="4"/>
  <c r="Q33" i="4" s="1"/>
  <c r="Q79" i="4"/>
  <c r="M149" i="4" s="1"/>
  <c r="M146" i="4" l="1"/>
  <c r="M147" i="4"/>
  <c r="M148" i="4" s="1"/>
  <c r="M152" i="4" s="1"/>
  <c r="Q94" i="4"/>
  <c r="P94" i="4"/>
  <c r="O94" i="4"/>
  <c r="N94" i="4"/>
  <c r="M94" i="4"/>
  <c r="M125" i="4"/>
  <c r="M34" i="4" s="1"/>
  <c r="I12" i="13" s="1"/>
  <c r="N122" i="4"/>
  <c r="N124" i="4" s="1"/>
  <c r="N63" i="4" s="1"/>
  <c r="N65" i="4" l="1"/>
  <c r="M154" i="4"/>
  <c r="R141" i="4"/>
  <c r="N152" i="4" s="1"/>
  <c r="N154" i="4" s="1"/>
  <c r="O122" i="4"/>
  <c r="O124" i="4" s="1"/>
  <c r="O125" i="4" s="1"/>
  <c r="O34" i="4" s="1"/>
  <c r="K12" i="13" s="1"/>
  <c r="M97" i="4"/>
  <c r="M36" i="4"/>
  <c r="M80" i="4"/>
  <c r="M63" i="4"/>
  <c r="N125" i="4"/>
  <c r="N34" i="4" s="1"/>
  <c r="J12" i="13" s="1"/>
  <c r="M65" i="4" l="1"/>
  <c r="E160" i="4"/>
  <c r="E164" i="4" s="1"/>
  <c r="E166" i="4" s="1"/>
  <c r="O160" i="4" s="1"/>
  <c r="O162" i="4" s="1"/>
  <c r="O63" i="4"/>
  <c r="P122" i="4"/>
  <c r="P124" i="4" s="1"/>
  <c r="P63" i="4" s="1"/>
  <c r="M37" i="4"/>
  <c r="M38" i="4" s="1"/>
  <c r="N97" i="4"/>
  <c r="N80" i="4"/>
  <c r="N36" i="4"/>
  <c r="O80" i="4"/>
  <c r="O36" i="4"/>
  <c r="O97" i="4"/>
  <c r="I29" i="13" l="1"/>
  <c r="I26" i="13"/>
  <c r="I8" i="16"/>
  <c r="P65" i="4"/>
  <c r="O65" i="4"/>
  <c r="P125" i="4"/>
  <c r="P34" i="4" s="1"/>
  <c r="Q122" i="4"/>
  <c r="Q124" i="4" s="1"/>
  <c r="Q125" i="4" s="1"/>
  <c r="Q34" i="4" s="1"/>
  <c r="M12" i="13" s="1"/>
  <c r="N37" i="4"/>
  <c r="N38" i="4" s="1"/>
  <c r="O37" i="4"/>
  <c r="O38" i="4" s="1"/>
  <c r="M78" i="4"/>
  <c r="M82" i="4" s="1"/>
  <c r="M96" i="4"/>
  <c r="M98" i="4" s="1"/>
  <c r="I35" i="13" l="1"/>
  <c r="I33" i="13"/>
  <c r="J8" i="16"/>
  <c r="J29" i="13"/>
  <c r="J26" i="13"/>
  <c r="K8" i="16"/>
  <c r="K29" i="13"/>
  <c r="K26" i="13"/>
  <c r="P80" i="4"/>
  <c r="L12" i="13"/>
  <c r="M100" i="4"/>
  <c r="M102" i="4" s="1"/>
  <c r="Q63" i="4"/>
  <c r="P36" i="4"/>
  <c r="P37" i="4" s="1"/>
  <c r="P38" i="4" s="1"/>
  <c r="P97" i="4"/>
  <c r="M68" i="4"/>
  <c r="N78" i="4"/>
  <c r="N82" i="4" s="1"/>
  <c r="N96" i="4"/>
  <c r="N98" i="4" s="1"/>
  <c r="O78" i="4"/>
  <c r="O82" i="4" s="1"/>
  <c r="O96" i="4"/>
  <c r="O98" i="4" s="1"/>
  <c r="Q36" i="4"/>
  <c r="Q97" i="4"/>
  <c r="Q80" i="4"/>
  <c r="K33" i="13" l="1"/>
  <c r="K35" i="13"/>
  <c r="J33" i="13"/>
  <c r="J35" i="13"/>
  <c r="L8" i="16"/>
  <c r="L26" i="13"/>
  <c r="L29" i="13"/>
  <c r="Q65" i="4"/>
  <c r="M69" i="4"/>
  <c r="O100" i="4"/>
  <c r="N100" i="4"/>
  <c r="N68" i="4"/>
  <c r="P78" i="4"/>
  <c r="P82" i="4" s="1"/>
  <c r="P96" i="4"/>
  <c r="P98" i="4" s="1"/>
  <c r="M45" i="4"/>
  <c r="N101" i="4"/>
  <c r="Q37" i="4"/>
  <c r="Q38" i="4" s="1"/>
  <c r="M71" i="4" l="1"/>
  <c r="I11" i="13"/>
  <c r="I30" i="13"/>
  <c r="M56" i="4"/>
  <c r="I13" i="13" s="1"/>
  <c r="I6" i="13"/>
  <c r="I23" i="13"/>
  <c r="I8" i="13"/>
  <c r="I7" i="13"/>
  <c r="N69" i="4"/>
  <c r="L35" i="13"/>
  <c r="L33" i="13"/>
  <c r="M29" i="13"/>
  <c r="M8" i="16"/>
  <c r="M26" i="13"/>
  <c r="N102" i="4"/>
  <c r="N45" i="4" s="1"/>
  <c r="O68" i="4"/>
  <c r="P100" i="4"/>
  <c r="Q78" i="4"/>
  <c r="Q82" i="4" s="1"/>
  <c r="Q96" i="4"/>
  <c r="Q98" i="4" s="1"/>
  <c r="O69" i="4" l="1"/>
  <c r="N56" i="4"/>
  <c r="J23" i="13"/>
  <c r="J6" i="13"/>
  <c r="J8" i="13"/>
  <c r="J7" i="13"/>
  <c r="O101" i="4"/>
  <c r="O102" i="4" s="1"/>
  <c r="N71" i="4"/>
  <c r="J13" i="13"/>
  <c r="J11" i="13"/>
  <c r="J30" i="13"/>
  <c r="M73" i="4"/>
  <c r="M3" i="4" s="1"/>
  <c r="I20" i="13"/>
  <c r="I9" i="16" s="1"/>
  <c r="I12" i="16" s="1"/>
  <c r="J20" i="13"/>
  <c r="J9" i="16" s="1"/>
  <c r="J12" i="16" s="1"/>
  <c r="I28" i="13"/>
  <c r="I34" i="13"/>
  <c r="J28" i="13"/>
  <c r="M35" i="13"/>
  <c r="M33" i="13"/>
  <c r="P68" i="4"/>
  <c r="Q100" i="4"/>
  <c r="O45" i="4"/>
  <c r="P101" i="4"/>
  <c r="P102" i="4" s="1"/>
  <c r="Q68" i="4" l="1"/>
  <c r="Q69" i="4" s="1"/>
  <c r="N73" i="4"/>
  <c r="N3" i="4" s="1"/>
  <c r="K20" i="13"/>
  <c r="K9" i="16" s="1"/>
  <c r="K12" i="16" s="1"/>
  <c r="J34" i="13"/>
  <c r="O56" i="4"/>
  <c r="K13" i="13" s="1"/>
  <c r="K8" i="13"/>
  <c r="K6" i="13"/>
  <c r="K23" i="13"/>
  <c r="K7" i="13"/>
  <c r="O71" i="4"/>
  <c r="K11" i="13"/>
  <c r="K30" i="13"/>
  <c r="P69" i="4"/>
  <c r="Q101" i="4"/>
  <c r="Q102" i="4" s="1"/>
  <c r="Q45" i="4" s="1"/>
  <c r="P45" i="4"/>
  <c r="P71" i="4" l="1"/>
  <c r="L11" i="13"/>
  <c r="L30" i="13"/>
  <c r="O73" i="4"/>
  <c r="O3" i="4" s="1"/>
  <c r="K34" i="13"/>
  <c r="P56" i="4"/>
  <c r="L8" i="13"/>
  <c r="L23" i="13"/>
  <c r="L6" i="13"/>
  <c r="L7" i="13"/>
  <c r="Q56" i="4"/>
  <c r="M23" i="13"/>
  <c r="M8" i="13"/>
  <c r="M6" i="13"/>
  <c r="M7" i="13"/>
  <c r="K28" i="13"/>
  <c r="Q71" i="4"/>
  <c r="M11" i="13"/>
  <c r="M30" i="13"/>
  <c r="P73" i="4" l="1"/>
  <c r="P3" i="4" s="1"/>
  <c r="M20" i="13"/>
  <c r="M9" i="16" s="1"/>
  <c r="M12" i="16" s="1"/>
  <c r="M28" i="13"/>
  <c r="L34" i="13"/>
  <c r="L28" i="13"/>
  <c r="L20" i="13"/>
  <c r="L9" i="16" s="1"/>
  <c r="L12" i="16" s="1"/>
  <c r="L13" i="13"/>
  <c r="Q73" i="4"/>
  <c r="Q3" i="4" s="1"/>
  <c r="M34" i="13"/>
  <c r="M13" i="13"/>
</calcChain>
</file>

<file path=xl/sharedStrings.xml><?xml version="1.0" encoding="utf-8"?>
<sst xmlns="http://schemas.openxmlformats.org/spreadsheetml/2006/main" count="621" uniqueCount="466">
  <si>
    <t>Units</t>
  </si>
  <si>
    <t>Alkem Laboratories</t>
  </si>
  <si>
    <t>Historical Data</t>
  </si>
  <si>
    <t>ASSETS</t>
  </si>
  <si>
    <t>(b) Financial assets</t>
  </si>
  <si>
    <t>Income</t>
  </si>
  <si>
    <t>(a) Revenue from operations</t>
  </si>
  <si>
    <t>(b) Other income</t>
  </si>
  <si>
    <t>Total income</t>
  </si>
  <si>
    <t>Expenses</t>
  </si>
  <si>
    <t>(a) Cost of materials consumed</t>
  </si>
  <si>
    <t>(b) Purchases of stock-in-trade</t>
  </si>
  <si>
    <t>(c) Changes in inventories of finished goods, work-in-progress and</t>
  </si>
  <si>
    <t>stock-in-trade</t>
  </si>
  <si>
    <t>(d) Employee benefits expense</t>
  </si>
  <si>
    <t>(e) Finance costs</t>
  </si>
  <si>
    <t>(f ) Depreciation and amortisation expense</t>
  </si>
  <si>
    <t>(g) Other expenses</t>
  </si>
  <si>
    <t>Total expenses</t>
  </si>
  <si>
    <t>Profit before exceptional items and tax (1) - (2)</t>
  </si>
  <si>
    <t>Exceptional items</t>
  </si>
  <si>
    <t>Profit before tax (3) + (4)</t>
  </si>
  <si>
    <t>Tax expense</t>
  </si>
  <si>
    <t>(a) Current tax</t>
  </si>
  <si>
    <t>(b) Deferred tax charge/(credit) (net)</t>
  </si>
  <si>
    <t>Total tax expenses (a + b)</t>
  </si>
  <si>
    <t>Profit for the year (5) - (6)</t>
  </si>
  <si>
    <t>Profit attributable to Non-Controlling Interest</t>
  </si>
  <si>
    <t>Profit attributable to Owners of the Company (7) - (8)</t>
  </si>
  <si>
    <t>Interest</t>
  </si>
  <si>
    <t>-</t>
  </si>
  <si>
    <t>INCOME STATEMENT</t>
  </si>
  <si>
    <t>Tax adjustment of earlier periods</t>
  </si>
  <si>
    <t>BALANCE SHEET</t>
  </si>
  <si>
    <t>Non-current assets</t>
  </si>
  <si>
    <t>(a) Property, plant and equipment</t>
  </si>
  <si>
    <t>Right of use assets</t>
  </si>
  <si>
    <t>(b) Capital work in progress</t>
  </si>
  <si>
    <t>(c) Goodwill</t>
  </si>
  <si>
    <t>(d) Other intangible assets</t>
  </si>
  <si>
    <t>(e) Goodwill on consolidation</t>
  </si>
  <si>
    <t>Intangible assets under development</t>
  </si>
  <si>
    <t>(f) Financial assets</t>
  </si>
  <si>
    <t>(i) Investments</t>
  </si>
  <si>
    <t>(ii) Loans</t>
  </si>
  <si>
    <t>(iii) Other financial assets</t>
  </si>
  <si>
    <t>(g) Deferred tax assets (net)</t>
  </si>
  <si>
    <t>(h) Non-current tax assets (net)</t>
  </si>
  <si>
    <t>(i) Other non-current assets</t>
  </si>
  <si>
    <t>Total non-current assets</t>
  </si>
  <si>
    <t>Current assets</t>
  </si>
  <si>
    <t>(a) Inventories</t>
  </si>
  <si>
    <t>(ii) Trade receivables</t>
  </si>
  <si>
    <t>(iii) Cash and cash equivalents</t>
  </si>
  <si>
    <t>(v) Loans</t>
  </si>
  <si>
    <t>(vi) Other financial assets</t>
  </si>
  <si>
    <t>(c) Other current assets</t>
  </si>
  <si>
    <t>(d) Non-current assets held for sale</t>
  </si>
  <si>
    <t>Total current assets</t>
  </si>
  <si>
    <t>TOTAL ASSETS</t>
  </si>
  <si>
    <t>EQUITY AND LIABILITIES</t>
  </si>
  <si>
    <t>Equity</t>
  </si>
  <si>
    <t>(a) Equity share capital</t>
  </si>
  <si>
    <t>(b) Other equity</t>
  </si>
  <si>
    <t>Equity attributable to owners of the Company</t>
  </si>
  <si>
    <t>(c) Non-controlling interest</t>
  </si>
  <si>
    <t>Total Equity</t>
  </si>
  <si>
    <t>Liabilities</t>
  </si>
  <si>
    <t>Non-current liabilities</t>
  </si>
  <si>
    <t>(a) Financial liabilities</t>
  </si>
  <si>
    <t>(i) Borrowings</t>
  </si>
  <si>
    <t>Lease liabilities</t>
  </si>
  <si>
    <t>Other financial liabilities</t>
  </si>
  <si>
    <t>(b) Provisions</t>
  </si>
  <si>
    <t>(c) Deferred tax liabilities (net)</t>
  </si>
  <si>
    <t>(d) Other non-current liabilities</t>
  </si>
  <si>
    <t>Total non-current liabilities</t>
  </si>
  <si>
    <t>Current liabilities</t>
  </si>
  <si>
    <t>(ii) Lease Liabilities</t>
  </si>
  <si>
    <t>(iii) Trade payables</t>
  </si>
  <si>
    <t>Dues of micro and small enterprises</t>
  </si>
  <si>
    <t>Dues of creditors other than micro and small enterprises</t>
  </si>
  <si>
    <t>(iii) Other financial liabilities</t>
  </si>
  <si>
    <t>(b) Other current liabilities</t>
  </si>
  <si>
    <t>(c) Provisions</t>
  </si>
  <si>
    <t>(d) Current tax liabilities (net)</t>
  </si>
  <si>
    <t>Total current liabilities</t>
  </si>
  <si>
    <t>Total Liabilities</t>
  </si>
  <si>
    <t>TOTAL EQUITY AND LIABILITIES</t>
  </si>
  <si>
    <t>CASH FLOW STATEMENT</t>
  </si>
  <si>
    <t>A. Cash Flow from Operating Activities:</t>
  </si>
  <si>
    <t>Profit before tax</t>
  </si>
  <si>
    <t>Adjustments for:</t>
  </si>
  <si>
    <t>Depreciation and amortisation expense</t>
  </si>
  <si>
    <t>Liabilities no longer required written back</t>
  </si>
  <si>
    <t>Profit on sale of investments</t>
  </si>
  <si>
    <t>Unrealised (gain) / loss on fair valuation of investments (net)</t>
  </si>
  <si>
    <t>Profit on sale of property plant and equipment (net)</t>
  </si>
  <si>
    <t>Employee stock compensation</t>
  </si>
  <si>
    <t>Recovery of Bad debts</t>
  </si>
  <si>
    <t>Unrealised foreign currency (gain) / loss on revaluation (net)</t>
  </si>
  <si>
    <t>Dividend Income</t>
  </si>
  <si>
    <t>Profit on sale of brand (net)</t>
  </si>
  <si>
    <t>Impairment loss on property, plant and equipment</t>
  </si>
  <si>
    <t>Interest Income</t>
  </si>
  <si>
    <t>Interest expenses</t>
  </si>
  <si>
    <t>Allowances for doubtful debts</t>
  </si>
  <si>
    <t>Rent Income</t>
  </si>
  <si>
    <t>Subtotal of Adjustments</t>
  </si>
  <si>
    <t>Operating profit before working capital changes</t>
  </si>
  <si>
    <t>Adjustments for changes in working capital:</t>
  </si>
  <si>
    <t>(Increase) in trade receivables</t>
  </si>
  <si>
    <t>(Increase) / Decrease in loans, other financial assets and other assets</t>
  </si>
  <si>
    <t>(Increase) Decrease in inventories</t>
  </si>
  <si>
    <t>Increase / (Decrease) in trade payable, other financial liabilities and other liabilities</t>
  </si>
  <si>
    <t>Increase in provisions</t>
  </si>
  <si>
    <t>Subtotal of adjustments</t>
  </si>
  <si>
    <t>Cash generated from operations</t>
  </si>
  <si>
    <t>Less: Income taxes paid (net of refund)</t>
  </si>
  <si>
    <t>Net Cash generated from operating activities</t>
  </si>
  <si>
    <t>B Cash Flow from Investing Activities:</t>
  </si>
  <si>
    <t>Purchases of property, plant and equipment</t>
  </si>
  <si>
    <t>Sale of property, plant and equipment</t>
  </si>
  <si>
    <t>(Purchase of) / Proceeds from sale of investments (net)</t>
  </si>
  <si>
    <t>Purchase of Investments (net)</t>
  </si>
  <si>
    <t>(Investment made in) / Redemption of bank deposits having maturity of more</t>
  </si>
  <si>
    <t>Dividend received</t>
  </si>
  <si>
    <t>Interest received</t>
  </si>
  <si>
    <t>Rent received</t>
  </si>
  <si>
    <t>Net cash generated from / (used in) investing activities</t>
  </si>
  <si>
    <t>C Cash Flow from Financing Activities:</t>
  </si>
  <si>
    <t>Repayment of non-current borrowings (net)</t>
  </si>
  <si>
    <t>Proceeds from current borrowings (net)</t>
  </si>
  <si>
    <t>Proceeds from issue of compulsory convertible preferance shares</t>
  </si>
  <si>
    <t>Dividends paid</t>
  </si>
  <si>
    <t>Repayment of lease liabilities (net)</t>
  </si>
  <si>
    <t>Interest paid</t>
  </si>
  <si>
    <t>Net cash (used in)/generated from financing activities</t>
  </si>
  <si>
    <t>D Net (decrease)/increase in cash and cash equivalents (A+B+C)</t>
  </si>
  <si>
    <t>E Cash and cash equivalents as at beginning of the year</t>
  </si>
  <si>
    <t>Add/Less: Effect of exchange difference on foreign currency</t>
  </si>
  <si>
    <t>Cash and cash equivalents as at end of the year</t>
  </si>
  <si>
    <t>SEGMENTED REVENUE</t>
  </si>
  <si>
    <t>India</t>
  </si>
  <si>
    <t>United States of America</t>
  </si>
  <si>
    <t>Other Countries</t>
  </si>
  <si>
    <t>QUARTERLY FINANCIALS</t>
  </si>
  <si>
    <t>Sales</t>
  </si>
  <si>
    <t>Operating Profit</t>
  </si>
  <si>
    <t>Other Income</t>
  </si>
  <si>
    <t>Depreciation</t>
  </si>
  <si>
    <t>Tax</t>
  </si>
  <si>
    <t>Net profit</t>
  </si>
  <si>
    <t>Financial Statement &amp; DCF Analysis</t>
  </si>
  <si>
    <t>Historical Period</t>
  </si>
  <si>
    <t>Forecast Period</t>
  </si>
  <si>
    <t>Income Statement</t>
  </si>
  <si>
    <t>Revenue</t>
  </si>
  <si>
    <t>Cost of Goods Sold (COGS)</t>
  </si>
  <si>
    <t>Gross Profit</t>
  </si>
  <si>
    <t>Salaries and Benefits</t>
  </si>
  <si>
    <t>Other SG&amp;A Expenses</t>
  </si>
  <si>
    <t>EBITDA</t>
  </si>
  <si>
    <t>Depreciation &amp; Amortization Expense</t>
  </si>
  <si>
    <t>EBIT</t>
  </si>
  <si>
    <t>Interest Expense</t>
  </si>
  <si>
    <t>Other Income (Expense)</t>
  </si>
  <si>
    <t>Earnings before Tax</t>
  </si>
  <si>
    <t>Taxes</t>
  </si>
  <si>
    <t>Net Earnings</t>
  </si>
  <si>
    <t>Balance Sheet</t>
  </si>
  <si>
    <t>Assets</t>
  </si>
  <si>
    <t>Current Assets:</t>
  </si>
  <si>
    <t>Non-Current Assets:</t>
  </si>
  <si>
    <t>₹ MM</t>
  </si>
  <si>
    <t>Cash</t>
  </si>
  <si>
    <t>Bank Deposits</t>
  </si>
  <si>
    <t>Accounts Receivable</t>
  </si>
  <si>
    <t>Inventory</t>
  </si>
  <si>
    <t>Other Current Assets</t>
  </si>
  <si>
    <t>Property and Equipment</t>
  </si>
  <si>
    <t>Goodwill</t>
  </si>
  <si>
    <t>Financial Assets</t>
  </si>
  <si>
    <t>Other Non-Current Assets</t>
  </si>
  <si>
    <t>Total Assets</t>
  </si>
  <si>
    <t>Current Liabilities:</t>
  </si>
  <si>
    <t>Accounts Payable</t>
  </si>
  <si>
    <t>Other Current Liabilities</t>
  </si>
  <si>
    <t>Debt</t>
  </si>
  <si>
    <t>Non-Current Liabilities:</t>
  </si>
  <si>
    <t>Other Non-Current Liabilities</t>
  </si>
  <si>
    <t>Shareholder's Equity</t>
  </si>
  <si>
    <t>Equity Capital</t>
  </si>
  <si>
    <t>Retained Earnings</t>
  </si>
  <si>
    <t>Total Shareholder's Equity</t>
  </si>
  <si>
    <t>Non-Controlling Interest</t>
  </si>
  <si>
    <t>Total Liabilities &amp; Shareholder's Equity</t>
  </si>
  <si>
    <t>Check</t>
  </si>
  <si>
    <t>Master Check</t>
  </si>
  <si>
    <t>Cash Flow Statement</t>
  </si>
  <si>
    <t>Operating Cash Flow</t>
  </si>
  <si>
    <t>Plus: Depreciation &amp; Amortization</t>
  </si>
  <si>
    <t>Plus/Less: Adjustments for Non Operating Items</t>
  </si>
  <si>
    <t>Plus/Less: Adjustments for Assets &amp; Liabilities</t>
  </si>
  <si>
    <t>Cash from Operations</t>
  </si>
  <si>
    <t>Investing Cash Flow</t>
  </si>
  <si>
    <t>Investments in Property &amp; Equipments</t>
  </si>
  <si>
    <t>Sale of Property, Plant &amp; Equipments</t>
  </si>
  <si>
    <t>Purchase/Sale of Investments</t>
  </si>
  <si>
    <t>Cash from Investing</t>
  </si>
  <si>
    <t>Financing Cash Flow</t>
  </si>
  <si>
    <t>Issuance(repayments) of Debt</t>
  </si>
  <si>
    <t>Issuance(redemption) of Preference Shares - NCI</t>
  </si>
  <si>
    <t>Dividends Paid</t>
  </si>
  <si>
    <t>Interest Paid</t>
  </si>
  <si>
    <t>Cash from Financing</t>
  </si>
  <si>
    <t>Net Increse(decrease) in Cash</t>
  </si>
  <si>
    <t>Opening Cash Balance</t>
  </si>
  <si>
    <t>Closing Cash Balance</t>
  </si>
  <si>
    <t>Supporting Schedules</t>
  </si>
  <si>
    <t xml:space="preserve">Working Capital </t>
  </si>
  <si>
    <t>Others</t>
  </si>
  <si>
    <t>Total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</si>
  <si>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</si>
  <si>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</si>
  <si>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</si>
  <si>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</si>
  <si>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</si>
  <si>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</si>
  <si>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</si>
  <si>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Issuance(repayment)</t>
  </si>
  <si>
    <t>Debt Closing</t>
  </si>
  <si>
    <t>Ratios &amp; Assumptions</t>
  </si>
  <si>
    <t>Revenue Growth</t>
  </si>
  <si>
    <t>%</t>
  </si>
  <si>
    <t>Cost of Goods Sold (% of Revenue)</t>
  </si>
  <si>
    <t>Salaries and Benefits (% of Revenue)</t>
  </si>
  <si>
    <t>Other SG&amp;A Expenses (% of Revenue)</t>
  </si>
  <si>
    <t>Depreciation &amp; Amortization Expense (% of PP&amp;E)</t>
  </si>
  <si>
    <t>Interest Expense (% of Debt)</t>
  </si>
  <si>
    <t>Other Income (Expense) (% of Revenue)</t>
  </si>
  <si>
    <t>Taxes (% of Earnings before Tax)</t>
  </si>
  <si>
    <t>Dividends Payout</t>
  </si>
  <si>
    <t>Days</t>
  </si>
  <si>
    <t>Days Inventory Outstanding</t>
  </si>
  <si>
    <t>Capital Asset Turnover Ratio</t>
  </si>
  <si>
    <t>Times</t>
  </si>
  <si>
    <t>Scenarios</t>
  </si>
  <si>
    <t>Bull Case</t>
  </si>
  <si>
    <t>Bear Case</t>
  </si>
  <si>
    <t>Base Case</t>
  </si>
  <si>
    <t>Growth (%)</t>
  </si>
  <si>
    <t>Annual Growth Tapering</t>
  </si>
  <si>
    <t>LIVE SCENARIO</t>
  </si>
  <si>
    <t>Q-o-g Growth (%)</t>
  </si>
  <si>
    <t>31-Mar-2024E</t>
  </si>
  <si>
    <t>2024E</t>
  </si>
  <si>
    <t>CAGR</t>
  </si>
  <si>
    <t>Comps Valuation</t>
  </si>
  <si>
    <t>Company Name</t>
  </si>
  <si>
    <t>Price</t>
  </si>
  <si>
    <t>Shares</t>
  </si>
  <si>
    <t>Market Cap</t>
  </si>
  <si>
    <t>EV</t>
  </si>
  <si>
    <t>Earnings</t>
  </si>
  <si>
    <t>EV/EBITDA</t>
  </si>
  <si>
    <t>EV/Sales</t>
  </si>
  <si>
    <t>P/E</t>
  </si>
  <si>
    <t>Market Data</t>
  </si>
  <si>
    <t>Financial Data</t>
  </si>
  <si>
    <t>Valuation</t>
  </si>
  <si>
    <r>
      <t>(</t>
    </r>
    <r>
      <rPr>
        <b/>
        <sz val="10"/>
        <color theme="0"/>
        <rFont val="Calibri"/>
        <family val="2"/>
      </rPr>
      <t>₹</t>
    </r>
    <r>
      <rPr>
        <b/>
        <sz val="10.5"/>
        <color theme="0"/>
        <rFont val="Aptos"/>
        <family val="2"/>
      </rPr>
      <t>/Share)</t>
    </r>
  </si>
  <si>
    <t>M</t>
  </si>
  <si>
    <t>&amp;Equivalents</t>
  </si>
  <si>
    <t>x</t>
  </si>
  <si>
    <t>Dr. Reddy's Laboratories Limited</t>
  </si>
  <si>
    <t>Zydus Lifesciences Limited</t>
  </si>
  <si>
    <t>Torrent Pharmaceuticals Limited</t>
  </si>
  <si>
    <t>Mankind Pharma Limited</t>
  </si>
  <si>
    <t>Lupin Limited</t>
  </si>
  <si>
    <t>Aurobindo Pharma Limited</t>
  </si>
  <si>
    <t>Abbott India Limited</t>
  </si>
  <si>
    <t>GlaxoSmithKline Pharmaceuticals Limited</t>
  </si>
  <si>
    <t>Ipca Laboratories Limited</t>
  </si>
  <si>
    <t>Gland Pharma Limited</t>
  </si>
  <si>
    <t>Name</t>
  </si>
  <si>
    <t>CMP Rs.</t>
  </si>
  <si>
    <t>No. Eq. Shares Cr.</t>
  </si>
  <si>
    <t>Debt Rs.Cr.</t>
  </si>
  <si>
    <t>Cash Rs.Cr.</t>
  </si>
  <si>
    <t>Sales Rs.Cr. </t>
  </si>
  <si>
    <t>NP 12M Rs.Cr.</t>
  </si>
  <si>
    <t>Tax 12M Rs.Cr.</t>
  </si>
  <si>
    <t>Dr Reddy's Labs</t>
  </si>
  <si>
    <t>Aurobindo Pharma</t>
  </si>
  <si>
    <t>Zydus Lifesci.</t>
  </si>
  <si>
    <t>Lupin</t>
  </si>
  <si>
    <t>Alkem Lab</t>
  </si>
  <si>
    <t>Mankind Pharma</t>
  </si>
  <si>
    <t>Torrent Pharma.</t>
  </si>
  <si>
    <t>Ipca Labs.</t>
  </si>
  <si>
    <t>Abbott India</t>
  </si>
  <si>
    <t>Gland Pharma</t>
  </si>
  <si>
    <t>Glaxosmi. Pharma</t>
  </si>
  <si>
    <t>Market Capitalization</t>
  </si>
  <si>
    <t>Average</t>
  </si>
  <si>
    <t>Median</t>
  </si>
  <si>
    <t>Ticker</t>
  </si>
  <si>
    <t>ZYDUSLIFE</t>
  </si>
  <si>
    <t>MANKIND</t>
  </si>
  <si>
    <t>AUROPHARMA</t>
  </si>
  <si>
    <t>IPCALAB</t>
  </si>
  <si>
    <t>GLAND</t>
  </si>
  <si>
    <t>ALKEM</t>
  </si>
  <si>
    <t>Metric</t>
  </si>
  <si>
    <t>Comps</t>
  </si>
  <si>
    <t>Net Debt</t>
  </si>
  <si>
    <t>Equity Value</t>
  </si>
  <si>
    <t>Share Price</t>
  </si>
  <si>
    <t>Equity Market Return</t>
  </si>
  <si>
    <t>Date</t>
  </si>
  <si>
    <t>Index</t>
  </si>
  <si>
    <t>Close Price</t>
  </si>
  <si>
    <t>Yearfrac</t>
  </si>
  <si>
    <t>Market Return</t>
  </si>
  <si>
    <t>Nifty 50 TRI</t>
  </si>
  <si>
    <t>Weighted-Average Cost of Capital (WACC)</t>
  </si>
  <si>
    <t>All Amounts Denominated in INR MM Unless Otherwise Stated</t>
  </si>
  <si>
    <t>Tax Rate%</t>
  </si>
  <si>
    <t>AVERAGE</t>
  </si>
  <si>
    <t>MEDIAN</t>
  </si>
  <si>
    <t>(iv) Bank balances other than above</t>
  </si>
  <si>
    <t>–</t>
  </si>
  <si>
    <t>WACC Calculation</t>
  </si>
  <si>
    <t>Current Capital Structure</t>
  </si>
  <si>
    <t>Total Debt</t>
  </si>
  <si>
    <t>Debt / Equity</t>
  </si>
  <si>
    <t>Cost of Debt</t>
  </si>
  <si>
    <t>Pre-Tax Cost of Debt</t>
  </si>
  <si>
    <t>Tax Rate</t>
  </si>
  <si>
    <t>After-Tax Cost of Debt</t>
  </si>
  <si>
    <t>Cost of Equity</t>
  </si>
  <si>
    <t>Risk Free Rate</t>
  </si>
  <si>
    <t>Equity Risk Premium</t>
  </si>
  <si>
    <t>Levered Equity Beta</t>
  </si>
  <si>
    <t>WACC</t>
  </si>
  <si>
    <t>Company Beta</t>
  </si>
  <si>
    <t>% Change</t>
  </si>
  <si>
    <t>Stock</t>
  </si>
  <si>
    <t>Monthly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</si>
  <si>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</si>
  <si>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</si>
  <si>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</si>
  <si>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</si>
  <si>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</si>
  <si>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</si>
  <si>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</si>
  <si>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</si>
  <si>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</si>
  <si>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</si>
  <si>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</si>
  <si>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</si>
  <si>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</si>
  <si>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</si>
  <si>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</si>
  <si>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</si>
  <si>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</si>
  <si>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</si>
  <si>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</si>
  <si>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</si>
  <si>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</si>
  <si>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</si>
  <si>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</si>
  <si>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</si>
  <si>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DCF Model</t>
  </si>
  <si>
    <t>Assumptions</t>
  </si>
  <si>
    <t>Transaction Date</t>
  </si>
  <si>
    <t>Fiscal Year End</t>
  </si>
  <si>
    <t>EV/EBITDA Multiple</t>
  </si>
  <si>
    <t>Perpetual Growth Rate</t>
  </si>
  <si>
    <t>Discount Rate</t>
  </si>
  <si>
    <t>Shares Outstanding</t>
  </si>
  <si>
    <t>Current Price</t>
  </si>
  <si>
    <t>Discounted Cash Flow</t>
  </si>
  <si>
    <t>Time Period</t>
  </si>
  <si>
    <t>Year Fraction</t>
  </si>
  <si>
    <t>Entry</t>
  </si>
  <si>
    <t>Exit</t>
  </si>
  <si>
    <t>Less: Cash Taxes</t>
  </si>
  <si>
    <t>NOPAT</t>
  </si>
  <si>
    <t>Plus: Depreciation &amp; Amoritzation</t>
  </si>
  <si>
    <t>Less: Capex</t>
  </si>
  <si>
    <t>Less: Changes in NWC</t>
  </si>
  <si>
    <t>Transaction FCFF</t>
  </si>
  <si>
    <t>Terminal Value</t>
  </si>
  <si>
    <t>Intrinsic Value</t>
  </si>
  <si>
    <t>Market Value</t>
  </si>
  <si>
    <t>Enterprise Value</t>
  </si>
  <si>
    <t>Plus: Cash &amp; Equivalents</t>
  </si>
  <si>
    <t>Plus: Debt</t>
  </si>
  <si>
    <t>Target Price</t>
  </si>
  <si>
    <t>Less: Debt</t>
  </si>
  <si>
    <t>Plus: Non-Controlling Interest</t>
  </si>
  <si>
    <t>Less: Non-Controlling Interest</t>
  </si>
  <si>
    <t>Less: Cash &amp; Equivalents</t>
  </si>
  <si>
    <t>Equity Value/Share</t>
  </si>
  <si>
    <t>FCFF</t>
  </si>
  <si>
    <t>Weights</t>
  </si>
  <si>
    <t>Valuation Summary - Football Field</t>
  </si>
  <si>
    <t>Football Field Data</t>
  </si>
  <si>
    <t>High</t>
  </si>
  <si>
    <t>Low</t>
  </si>
  <si>
    <t>DCF</t>
  </si>
  <si>
    <t>52-week hi/lo</t>
  </si>
  <si>
    <t>Valuation Summary</t>
  </si>
  <si>
    <t>Market Beta</t>
  </si>
  <si>
    <t>Adjusted Beta</t>
  </si>
  <si>
    <t>Levered Beta</t>
  </si>
  <si>
    <t>Weight</t>
  </si>
  <si>
    <t>Relative Valuation</t>
  </si>
  <si>
    <t>DCF Value</t>
  </si>
  <si>
    <t>Actuals</t>
  </si>
  <si>
    <t>Forecasted</t>
  </si>
  <si>
    <t>Particulars</t>
  </si>
  <si>
    <t>Liquidity Ratios</t>
  </si>
  <si>
    <t>Current Ratio</t>
  </si>
  <si>
    <t>Quick Ratio</t>
  </si>
  <si>
    <t>Cash Ratio</t>
  </si>
  <si>
    <t xml:space="preserve">Solvency Ratio </t>
  </si>
  <si>
    <t>Debt to Equity</t>
  </si>
  <si>
    <t>Interest Coverage</t>
  </si>
  <si>
    <t xml:space="preserve">Proprietry Ratio </t>
  </si>
  <si>
    <t>Activity Ratios</t>
  </si>
  <si>
    <t>Receivables Turnover Ratio</t>
  </si>
  <si>
    <t>No. of receivables days</t>
  </si>
  <si>
    <t>Inventory Turnover</t>
  </si>
  <si>
    <t>No. of Inventory Days</t>
  </si>
  <si>
    <t>Asset Turnover Ratio</t>
  </si>
  <si>
    <t>Payables Turnover Ratio</t>
  </si>
  <si>
    <t>No. of payables days</t>
  </si>
  <si>
    <t xml:space="preserve">Working Capital Ratio </t>
  </si>
  <si>
    <t>Profitability Ratios</t>
  </si>
  <si>
    <t>Net Profit Margin</t>
  </si>
  <si>
    <t>EBIDTA Margin</t>
  </si>
  <si>
    <t>ROA</t>
  </si>
  <si>
    <t>EPS</t>
  </si>
  <si>
    <t>ROE</t>
  </si>
  <si>
    <t>Performance Ratios</t>
  </si>
  <si>
    <t>CFO to Revenue</t>
  </si>
  <si>
    <t>CFO  to Assets</t>
  </si>
  <si>
    <t>CFO to Operating Income</t>
  </si>
  <si>
    <t>DUPONT ANALYSIS</t>
  </si>
  <si>
    <t>2021A</t>
  </si>
  <si>
    <t>2022A</t>
  </si>
  <si>
    <t>2023A</t>
  </si>
  <si>
    <t>2024A</t>
  </si>
  <si>
    <t>2026F</t>
  </si>
  <si>
    <t>2027F</t>
  </si>
  <si>
    <t>2028F</t>
  </si>
  <si>
    <t>2029F</t>
  </si>
  <si>
    <t>Net profit Margin</t>
  </si>
  <si>
    <t>Asset Turnover</t>
  </si>
  <si>
    <t>Equity Multiplier</t>
  </si>
  <si>
    <t>2025A</t>
  </si>
  <si>
    <t>2030F</t>
  </si>
  <si>
    <r>
      <rPr>
        <b/>
        <sz val="20"/>
        <color rgb="FFFFFFFF"/>
        <rFont val="Aptos"/>
        <family val="2"/>
      </rPr>
      <t xml:space="preserve">Ratio Analysis </t>
    </r>
    <r>
      <rPr>
        <b/>
        <sz val="14"/>
        <color rgb="FFFFFFFF"/>
        <rFont val="Aptos"/>
        <family val="2"/>
      </rPr>
      <t>(</t>
    </r>
    <r>
      <rPr>
        <b/>
        <sz val="14"/>
        <color rgb="FF9BC2E6"/>
        <rFont val="Aptos"/>
        <family val="2"/>
      </rPr>
      <t xml:space="preserve">Actual, </t>
    </r>
    <r>
      <rPr>
        <b/>
        <sz val="14"/>
        <color rgb="FFDBDBDB"/>
        <rFont val="Aptos"/>
        <family val="2"/>
      </rPr>
      <t>Forecasted,</t>
    </r>
    <r>
      <rPr>
        <b/>
        <sz val="14"/>
        <color rgb="FFA9D08E"/>
        <rFont val="Aptos"/>
        <family val="2"/>
      </rPr>
      <t xml:space="preserve"> Peers</t>
    </r>
    <r>
      <rPr>
        <b/>
        <sz val="14"/>
        <color rgb="FF9BC2E6"/>
        <rFont val="Aptos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</si>
</sst>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5" formatCode="_(* #,##0.00_);_(* \(#,##0.00\);_(* &quot;-&quot;??_);_(@_)"/>
    <numFmt numFmtId="166" formatCode="#,###;\(#,###\);\-"/>
    <numFmt numFmtId="167" formatCode="#,##0.0"/>
    <numFmt numFmtId="168" formatCode="#,##0.000"/>
    <numFmt numFmtId="169" formatCode="#&quot;A&quot;"/>
    <numFmt numFmtId="170" formatCode="#&quot;E&quot;"/>
    <numFmt numFmtId="171" formatCode="##,###;\(##,###\);&quot;-&quot;"/>
    <numFmt numFmtId="172" formatCode="0.0%"/>
    <numFmt numFmtId="173" formatCode="0.0\x"/>
    <numFmt numFmtId="174" formatCode=";;;"/>
    <numFmt numFmtId="175" formatCode="&quot;₹&quot;\ #,##0.00"/>
    <numFmt numFmtId="176" formatCode="&quot;₹&quot;\ #,##0"/>
    <numFmt numFmtId="177" formatCode="&quot;₹&quot;#,##0_);[Red]\(&quot;₹&quot;#,##0\)"/>
    <numFmt numFmtId="178" formatCode="\-"/>
    <numFmt numFmtId="179" formatCode="#,##0.00000000"/>
    <numFmt numFmtId="180" formatCode="#.0\x"/>
    <numFmt numFmtId="185" formatCode="##,###.00;\(##,###.00\);&quot;-&quot;"/>
    <numFmt numFmtId="192" formatCode="0.0"/>
  </numFmts>
  <fonts count="5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26"/>
      <color theme="0"/>
      <name val="Aptos"/>
      <family val="2"/>
    </font>
    <font>
      <b/>
      <sz val="16"/>
      <color theme="0"/>
      <name val="Aptos"/>
      <family val="2"/>
    </font>
    <font>
      <b/>
      <sz val="10"/>
      <color theme="0"/>
      <name val="Aptos"/>
      <family val="2"/>
    </font>
    <font>
      <sz val="10"/>
      <name val="Aptos"/>
      <family val="2"/>
    </font>
    <font>
      <b/>
      <sz val="14"/>
      <name val="Aptos"/>
      <family val="2"/>
    </font>
    <font>
      <sz val="11"/>
      <color theme="1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b/>
      <sz val="12"/>
      <color theme="0"/>
      <name val="Aptos"/>
      <family val="2"/>
    </font>
    <font>
      <sz val="12"/>
      <name val="Aptos"/>
      <family val="2"/>
    </font>
    <font>
      <sz val="12"/>
      <color theme="1"/>
      <name val="Aptos"/>
      <family val="2"/>
    </font>
    <font>
      <sz val="12"/>
      <color rgb="FF00B050"/>
      <name val="Aptos"/>
      <family val="2"/>
    </font>
    <font>
      <b/>
      <sz val="12"/>
      <name val="Aptos"/>
      <family val="2"/>
    </font>
    <font>
      <b/>
      <sz val="12"/>
      <color rgb="FF00B050"/>
      <name val="Aptos"/>
      <family val="2"/>
    </font>
    <font>
      <i/>
      <sz val="12"/>
      <name val="Aptos"/>
      <family val="2"/>
    </font>
    <font>
      <i/>
      <sz val="10"/>
      <color theme="9" tint="-0.499984740745262"/>
      <name val="Aptos"/>
      <family val="2"/>
    </font>
    <font>
      <sz val="10"/>
      <name val="Arial"/>
      <family val="2"/>
    </font>
    <font>
      <b/>
      <sz val="10"/>
      <name val="Aptos"/>
      <family val="2"/>
    </font>
    <font>
      <i/>
      <sz val="12"/>
      <color theme="9" tint="-0.499984740745262"/>
      <name val="Aptos"/>
      <family val="2"/>
    </font>
    <font>
      <sz val="12"/>
      <color rgb="FF002060"/>
      <name val="Aptos"/>
      <family val="2"/>
    </font>
    <font>
      <b/>
      <i/>
      <sz val="10"/>
      <color theme="9" tint="-0.499984740745262"/>
      <name val="Aptos"/>
      <family val="2"/>
    </font>
    <font>
      <b/>
      <sz val="10"/>
      <color theme="0"/>
      <name val="Calibri"/>
      <family val="2"/>
    </font>
    <font>
      <b/>
      <sz val="10.5"/>
      <color theme="0"/>
      <name val="Aptos"/>
      <family val="2"/>
    </font>
    <font>
      <b/>
      <sz val="10"/>
      <name val="Arial"/>
      <family val="2"/>
    </font>
    <font>
      <sz val="10"/>
      <color theme="0"/>
      <name val="Aptos"/>
      <family val="2"/>
    </font>
    <font>
      <i/>
      <sz val="9"/>
      <color theme="0"/>
      <name val="Aptos"/>
      <family val="2"/>
    </font>
    <font>
      <sz val="10"/>
      <name val="Times New Roman"/>
      <family val="1"/>
    </font>
    <font>
      <sz val="11"/>
      <color theme="1"/>
      <name val="Arial Narrow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color theme="0"/>
      <name val="Arial"/>
      <family val="2"/>
    </font>
    <font>
      <sz val="10"/>
      <color rgb="FF232526"/>
      <name val="Segoe UI"/>
      <family val="2"/>
    </font>
    <font>
      <sz val="10"/>
      <color rgb="FF007C32"/>
      <name val="Segoe UI"/>
      <family val="2"/>
    </font>
    <font>
      <sz val="10"/>
      <color rgb="FF232526"/>
      <name val="Segoe UI"/>
      <family val="2"/>
    </font>
    <font>
      <b/>
      <sz val="10"/>
      <color rgb="FF007C32"/>
      <name val="Segoe UI"/>
      <family val="2"/>
    </font>
    <font>
      <sz val="10"/>
      <color rgb="FFD91400"/>
      <name val="Segoe UI"/>
      <family val="2"/>
    </font>
    <font>
      <b/>
      <sz val="10"/>
      <color rgb="FFD91400"/>
      <name val="Segoe UI"/>
      <family val="2"/>
    </font>
    <font>
      <sz val="10"/>
      <color rgb="FF232526"/>
      <name val="Aptos"/>
      <family val="2"/>
    </font>
    <font>
      <i/>
      <sz val="10"/>
      <name val="Aptos"/>
      <family val="2"/>
    </font>
    <font>
      <u/>
      <sz val="11"/>
      <color theme="10"/>
      <name val="Calibri"/>
      <family val="2"/>
      <scheme val="minor"/>
    </font>
    <font>
      <b/>
      <sz val="20"/>
      <color theme="0"/>
      <name val="Aptos"/>
      <family val="2"/>
    </font>
    <font>
      <b/>
      <sz val="20"/>
      <color rgb="FFFFFFFF"/>
      <name val="Aptos"/>
      <family val="2"/>
    </font>
    <font>
      <b/>
      <sz val="14"/>
      <color rgb="FFFFFFFF"/>
      <name val="Aptos"/>
      <family val="2"/>
    </font>
    <font>
      <b/>
      <sz val="14"/>
      <color rgb="FF9BC2E6"/>
      <name val="Aptos"/>
      <family val="2"/>
    </font>
    <font>
      <b/>
      <sz val="14"/>
      <color rgb="FFDBDBDB"/>
      <name val="Aptos"/>
      <family val="2"/>
    </font>
    <font>
      <b/>
      <sz val="14"/>
      <color rgb="FFA9D08E"/>
      <name val="Aptos"/>
      <family val="2"/>
    </font>
    <font>
      <b/>
      <i/>
      <sz val="11"/>
      <color theme="1"/>
      <name val="Aptos"/>
      <family val="2"/>
    </font>
    <font>
      <b/>
      <i/>
      <sz val="11"/>
      <color theme="0"/>
      <name val="Aptos"/>
      <family val="2"/>
    </font>
    <font>
      <i/>
      <sz val="11"/>
      <color theme="1"/>
      <name val="Aptos"/>
      <family val="2"/>
    </font>
    <font>
      <b/>
      <sz val="11"/>
      <color theme="0" tint="-4.9989318521683403E-2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indexed="64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8">
    <xf numFmtId="0" fontId="0" fillId="0" borderId="0"/>
    <xf numFmtId="9" fontId="20" fillId="0" borderId="0" applyFont="0" applyFill="0" applyBorder="0" applyAlignment="0" applyProtection="0"/>
    <xf numFmtId="0" fontId="30" fillId="0" borderId="0"/>
    <xf numFmtId="0" fontId="31" fillId="0" borderId="0"/>
    <xf numFmtId="165" fontId="31" fillId="0" borderId="0" applyFont="0" applyFill="0" applyBorder="0" applyAlignment="0" applyProtection="0"/>
    <xf numFmtId="0" fontId="1" fillId="0" borderId="0"/>
    <xf numFmtId="9" fontId="31" fillId="0" borderId="0" applyFont="0" applyFill="0" applyBorder="0" applyAlignment="0" applyProtection="0"/>
    <xf numFmtId="0" fontId="43" fillId="0" borderId="0" applyNumberFormat="0" applyFill="0" applyBorder="0" applyAlignment="0" applyProtection="0"/>
  </cellStyleXfs>
  <cellXfs count="211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0" borderId="0" xfId="0" applyFont="1"/>
    <xf numFmtId="10" fontId="5" fillId="0" borderId="0" xfId="0" applyNumberFormat="1" applyFont="1"/>
    <xf numFmtId="9" fontId="5" fillId="0" borderId="0" xfId="0" applyNumberFormat="1" applyFont="1"/>
    <xf numFmtId="0" fontId="7" fillId="0" borderId="0" xfId="0" applyFont="1"/>
    <xf numFmtId="0" fontId="8" fillId="0" borderId="1" xfId="0" applyFont="1" applyBorder="1"/>
    <xf numFmtId="0" fontId="9" fillId="0" borderId="1" xfId="0" applyFont="1" applyBorder="1"/>
    <xf numFmtId="0" fontId="9" fillId="0" borderId="0" xfId="0" applyFont="1"/>
    <xf numFmtId="0" fontId="8" fillId="0" borderId="0" xfId="0" applyFont="1"/>
    <xf numFmtId="166" fontId="9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4" fontId="9" fillId="0" borderId="0" xfId="0" applyNumberFormat="1" applyFont="1"/>
    <xf numFmtId="4" fontId="8" fillId="0" borderId="0" xfId="0" applyNumberFormat="1" applyFont="1"/>
    <xf numFmtId="168" fontId="9" fillId="0" borderId="0" xfId="0" applyNumberFormat="1" applyFont="1"/>
    <xf numFmtId="4" fontId="8" fillId="0" borderId="2" xfId="0" applyNumberFormat="1" applyFont="1" applyBorder="1"/>
    <xf numFmtId="0" fontId="9" fillId="0" borderId="2" xfId="0" applyFont="1" applyBorder="1"/>
    <xf numFmtId="2" fontId="10" fillId="0" borderId="3" xfId="0" applyNumberFormat="1" applyFont="1" applyBorder="1"/>
    <xf numFmtId="15" fontId="8" fillId="0" borderId="1" xfId="0" applyNumberFormat="1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9" fontId="7" fillId="0" borderId="0" xfId="0" applyNumberFormat="1" applyFont="1" applyAlignment="1">
      <alignment horizontal="center"/>
    </xf>
    <xf numFmtId="4" fontId="7" fillId="0" borderId="0" xfId="0" applyNumberFormat="1" applyFont="1"/>
    <xf numFmtId="0" fontId="7" fillId="0" borderId="0" xfId="0" applyFont="1" applyAlignment="1">
      <alignment horizontal="center"/>
    </xf>
    <xf numFmtId="170" fontId="11" fillId="2" borderId="0" xfId="0" applyNumberFormat="1" applyFont="1" applyFill="1"/>
    <xf numFmtId="0" fontId="12" fillId="2" borderId="0" xfId="0" applyFont="1" applyFill="1"/>
    <xf numFmtId="169" fontId="11" fillId="4" borderId="0" xfId="0" applyNumberFormat="1" applyFont="1" applyFill="1"/>
    <xf numFmtId="170" fontId="11" fillId="2" borderId="4" xfId="0" applyNumberFormat="1" applyFont="1" applyFill="1" applyBorder="1"/>
    <xf numFmtId="0" fontId="13" fillId="0" borderId="0" xfId="0" applyFont="1"/>
    <xf numFmtId="10" fontId="13" fillId="0" borderId="0" xfId="0" applyNumberFormat="1" applyFont="1"/>
    <xf numFmtId="9" fontId="13" fillId="0" borderId="0" xfId="0" applyNumberFormat="1" applyFont="1"/>
    <xf numFmtId="0" fontId="14" fillId="0" borderId="0" xfId="0" applyFont="1"/>
    <xf numFmtId="0" fontId="13" fillId="0" borderId="6" xfId="0" applyFont="1" applyBorder="1"/>
    <xf numFmtId="0" fontId="16" fillId="0" borderId="6" xfId="0" applyFont="1" applyBorder="1"/>
    <xf numFmtId="0" fontId="16" fillId="0" borderId="0" xfId="0" applyFont="1"/>
    <xf numFmtId="171" fontId="17" fillId="0" borderId="0" xfId="0" applyNumberFormat="1" applyFont="1"/>
    <xf numFmtId="171" fontId="16" fillId="0" borderId="0" xfId="0" applyNumberFormat="1" applyFont="1"/>
    <xf numFmtId="171" fontId="13" fillId="0" borderId="0" xfId="0" applyNumberFormat="1" applyFont="1"/>
    <xf numFmtId="171" fontId="16" fillId="0" borderId="6" xfId="0" applyNumberFormat="1" applyFont="1" applyBorder="1"/>
    <xf numFmtId="171" fontId="13" fillId="0" borderId="6" xfId="0" applyNumberFormat="1" applyFont="1" applyBorder="1"/>
    <xf numFmtId="171" fontId="15" fillId="0" borderId="0" xfId="0" applyNumberFormat="1" applyFont="1"/>
    <xf numFmtId="0" fontId="16" fillId="0" borderId="3" xfId="0" applyFont="1" applyBorder="1"/>
    <xf numFmtId="0" fontId="13" fillId="0" borderId="3" xfId="0" applyFont="1" applyBorder="1"/>
    <xf numFmtId="171" fontId="16" fillId="0" borderId="3" xfId="0" applyNumberFormat="1" applyFont="1" applyBorder="1"/>
    <xf numFmtId="171" fontId="13" fillId="0" borderId="3" xfId="0" applyNumberFormat="1" applyFont="1" applyBorder="1"/>
    <xf numFmtId="0" fontId="18" fillId="0" borderId="0" xfId="0" applyFont="1"/>
    <xf numFmtId="171" fontId="18" fillId="0" borderId="0" xfId="0" applyNumberFormat="1" applyFont="1"/>
    <xf numFmtId="0" fontId="19" fillId="0" borderId="0" xfId="0" applyFont="1"/>
    <xf numFmtId="171" fontId="14" fillId="0" borderId="0" xfId="0" applyNumberFormat="1" applyFont="1"/>
    <xf numFmtId="172" fontId="13" fillId="0" borderId="0" xfId="1" applyNumberFormat="1" applyFont="1"/>
    <xf numFmtId="1" fontId="13" fillId="0" borderId="0" xfId="0" applyNumberFormat="1" applyFont="1"/>
    <xf numFmtId="173" fontId="13" fillId="0" borderId="0" xfId="0" applyNumberFormat="1" applyFont="1"/>
    <xf numFmtId="172" fontId="13" fillId="0" borderId="0" xfId="0" applyNumberFormat="1" applyFont="1"/>
    <xf numFmtId="0" fontId="13" fillId="3" borderId="0" xfId="0" applyFont="1" applyFill="1"/>
    <xf numFmtId="0" fontId="16" fillId="3" borderId="0" xfId="0" applyFont="1" applyFill="1"/>
    <xf numFmtId="172" fontId="13" fillId="3" borderId="0" xfId="1" applyNumberFormat="1" applyFont="1" applyFill="1"/>
    <xf numFmtId="172" fontId="13" fillId="3" borderId="0" xfId="0" applyNumberFormat="1" applyFont="1" applyFill="1"/>
    <xf numFmtId="1" fontId="13" fillId="3" borderId="0" xfId="0" applyNumberFormat="1" applyFont="1" applyFill="1"/>
    <xf numFmtId="0" fontId="14" fillId="3" borderId="0" xfId="0" applyFont="1" applyFill="1"/>
    <xf numFmtId="169" fontId="12" fillId="2" borderId="0" xfId="0" applyNumberFormat="1" applyFont="1" applyFill="1"/>
    <xf numFmtId="0" fontId="22" fillId="3" borderId="0" xfId="0" applyFont="1" applyFill="1"/>
    <xf numFmtId="172" fontId="13" fillId="3" borderId="8" xfId="1" applyNumberFormat="1" applyFont="1" applyFill="1" applyBorder="1"/>
    <xf numFmtId="172" fontId="14" fillId="3" borderId="7" xfId="1" applyNumberFormat="1" applyFont="1" applyFill="1" applyBorder="1"/>
    <xf numFmtId="172" fontId="13" fillId="3" borderId="7" xfId="1" applyNumberFormat="1" applyFont="1" applyFill="1" applyBorder="1"/>
    <xf numFmtId="0" fontId="12" fillId="2" borderId="0" xfId="0" applyFont="1" applyFill="1" applyAlignment="1">
      <alignment vertical="center"/>
    </xf>
    <xf numFmtId="172" fontId="14" fillId="3" borderId="0" xfId="0" applyNumberFormat="1" applyFont="1" applyFill="1"/>
    <xf numFmtId="172" fontId="23" fillId="3" borderId="8" xfId="1" applyNumberFormat="1" applyFont="1" applyFill="1" applyBorder="1"/>
    <xf numFmtId="0" fontId="16" fillId="0" borderId="1" xfId="0" applyFont="1" applyBorder="1"/>
    <xf numFmtId="0" fontId="13" fillId="5" borderId="9" xfId="0" applyFont="1" applyFill="1" applyBorder="1"/>
    <xf numFmtId="0" fontId="13" fillId="0" borderId="1" xfId="0" applyFont="1" applyBorder="1"/>
    <xf numFmtId="174" fontId="13" fillId="0" borderId="1" xfId="0" applyNumberFormat="1" applyFont="1" applyBorder="1"/>
    <xf numFmtId="9" fontId="7" fillId="0" borderId="0" xfId="1" applyFont="1"/>
    <xf numFmtId="0" fontId="21" fillId="0" borderId="0" xfId="0" applyFont="1"/>
    <xf numFmtId="0" fontId="5" fillId="0" borderId="6" xfId="0" applyFont="1" applyBorder="1"/>
    <xf numFmtId="9" fontId="7" fillId="0" borderId="6" xfId="0" applyNumberFormat="1" applyFont="1" applyBorder="1" applyAlignment="1">
      <alignment horizontal="center"/>
    </xf>
    <xf numFmtId="4" fontId="7" fillId="0" borderId="6" xfId="0" applyNumberFormat="1" applyFont="1" applyBorder="1"/>
    <xf numFmtId="0" fontId="24" fillId="0" borderId="0" xfId="0" applyFont="1"/>
    <xf numFmtId="9" fontId="4" fillId="2" borderId="0" xfId="1" applyFont="1" applyFill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0" fillId="6" borderId="0" xfId="0" applyFill="1"/>
    <xf numFmtId="0" fontId="27" fillId="0" borderId="10" xfId="0" applyFont="1" applyBorder="1"/>
    <xf numFmtId="0" fontId="0" fillId="0" borderId="10" xfId="0" applyBorder="1"/>
    <xf numFmtId="0" fontId="27" fillId="0" borderId="11" xfId="0" applyFont="1" applyBorder="1"/>
    <xf numFmtId="0" fontId="27" fillId="6" borderId="10" xfId="0" applyFont="1" applyFill="1" applyBorder="1"/>
    <xf numFmtId="0" fontId="0" fillId="6" borderId="10" xfId="0" applyFill="1" applyBorder="1"/>
    <xf numFmtId="0" fontId="27" fillId="0" borderId="12" xfId="0" applyFont="1" applyBorder="1"/>
    <xf numFmtId="0" fontId="5" fillId="0" borderId="0" xfId="0" applyFont="1" applyAlignment="1">
      <alignment horizontal="center"/>
    </xf>
    <xf numFmtId="175" fontId="5" fillId="0" borderId="0" xfId="0" applyNumberFormat="1" applyFont="1"/>
    <xf numFmtId="176" fontId="5" fillId="0" borderId="0" xfId="0" applyNumberFormat="1" applyFont="1"/>
    <xf numFmtId="1" fontId="5" fillId="0" borderId="0" xfId="0" applyNumberFormat="1" applyFont="1"/>
    <xf numFmtId="0" fontId="4" fillId="2" borderId="13" xfId="0" applyFont="1" applyFill="1" applyBorder="1" applyAlignment="1">
      <alignment horizontal="right"/>
    </xf>
    <xf numFmtId="9" fontId="4" fillId="2" borderId="13" xfId="1" applyFont="1" applyFill="1" applyBorder="1" applyAlignment="1">
      <alignment horizontal="right"/>
    </xf>
    <xf numFmtId="0" fontId="5" fillId="0" borderId="15" xfId="0" applyFont="1" applyBorder="1"/>
    <xf numFmtId="173" fontId="5" fillId="0" borderId="0" xfId="0" applyNumberFormat="1" applyFont="1"/>
    <xf numFmtId="14" fontId="5" fillId="0" borderId="0" xfId="0" applyNumberFormat="1" applyFont="1"/>
    <xf numFmtId="4" fontId="5" fillId="0" borderId="0" xfId="0" applyNumberFormat="1" applyFont="1"/>
    <xf numFmtId="0" fontId="5" fillId="0" borderId="7" xfId="0" applyFont="1" applyBorder="1"/>
    <xf numFmtId="1" fontId="5" fillId="0" borderId="7" xfId="0" applyNumberFormat="1" applyFont="1" applyBorder="1"/>
    <xf numFmtId="172" fontId="5" fillId="0" borderId="7" xfId="1" applyNumberFormat="1" applyFont="1" applyBorder="1"/>
    <xf numFmtId="172" fontId="5" fillId="0" borderId="0" xfId="0" applyNumberFormat="1" applyFont="1"/>
    <xf numFmtId="0" fontId="29" fillId="2" borderId="0" xfId="0" applyFont="1" applyFill="1"/>
    <xf numFmtId="0" fontId="28" fillId="2" borderId="0" xfId="0" applyFont="1" applyFill="1"/>
    <xf numFmtId="172" fontId="5" fillId="0" borderId="0" xfId="1" applyNumberFormat="1" applyFont="1"/>
    <xf numFmtId="172" fontId="0" fillId="0" borderId="10" xfId="1" applyNumberFormat="1" applyFont="1" applyBorder="1"/>
    <xf numFmtId="172" fontId="0" fillId="0" borderId="0" xfId="1" applyNumberFormat="1" applyFont="1"/>
    <xf numFmtId="4" fontId="0" fillId="0" borderId="0" xfId="0" applyNumberFormat="1"/>
    <xf numFmtId="3" fontId="5" fillId="0" borderId="0" xfId="0" applyNumberFormat="1" applyFont="1"/>
    <xf numFmtId="0" fontId="28" fillId="8" borderId="0" xfId="0" applyFont="1" applyFill="1"/>
    <xf numFmtId="0" fontId="4" fillId="8" borderId="0" xfId="0" applyFont="1" applyFill="1"/>
    <xf numFmtId="177" fontId="5" fillId="0" borderId="0" xfId="0" applyNumberFormat="1" applyFont="1"/>
    <xf numFmtId="2" fontId="5" fillId="0" borderId="0" xfId="2" applyNumberFormat="1" applyFont="1"/>
    <xf numFmtId="0" fontId="21" fillId="0" borderId="16" xfId="0" applyFont="1" applyBorder="1"/>
    <xf numFmtId="0" fontId="5" fillId="0" borderId="16" xfId="0" applyFont="1" applyBorder="1"/>
    <xf numFmtId="0" fontId="21" fillId="0" borderId="17" xfId="0" applyFont="1" applyBorder="1"/>
    <xf numFmtId="172" fontId="21" fillId="0" borderId="17" xfId="0" applyNumberFormat="1" applyFont="1" applyBorder="1"/>
    <xf numFmtId="172" fontId="21" fillId="0" borderId="16" xfId="0" applyNumberFormat="1" applyFont="1" applyBorder="1"/>
    <xf numFmtId="0" fontId="5" fillId="0" borderId="18" xfId="0" applyFont="1" applyBorder="1"/>
    <xf numFmtId="172" fontId="5" fillId="0" borderId="18" xfId="0" applyNumberFormat="1" applyFont="1" applyBorder="1"/>
    <xf numFmtId="0" fontId="5" fillId="7" borderId="0" xfId="0" applyFont="1" applyFill="1"/>
    <xf numFmtId="0" fontId="32" fillId="7" borderId="0" xfId="0" applyFont="1" applyFill="1"/>
    <xf numFmtId="0" fontId="33" fillId="7" borderId="0" xfId="0" applyFont="1" applyFill="1"/>
    <xf numFmtId="173" fontId="32" fillId="7" borderId="0" xfId="0" applyNumberFormat="1" applyFont="1" applyFill="1"/>
    <xf numFmtId="0" fontId="21" fillId="7" borderId="0" xfId="0" applyFont="1" applyFill="1"/>
    <xf numFmtId="0" fontId="34" fillId="2" borderId="0" xfId="0" applyFont="1" applyFill="1" applyAlignment="1">
      <alignment horizontal="center"/>
    </xf>
    <xf numFmtId="0" fontId="35" fillId="9" borderId="0" xfId="0" applyFont="1" applyFill="1" applyAlignment="1">
      <alignment horizontal="left" vertical="center" wrapText="1"/>
    </xf>
    <xf numFmtId="0" fontId="35" fillId="9" borderId="0" xfId="0" applyFont="1" applyFill="1" applyAlignment="1">
      <alignment horizontal="right" vertical="center" wrapText="1"/>
    </xf>
    <xf numFmtId="0" fontId="35" fillId="9" borderId="0" xfId="0" applyFont="1" applyFill="1" applyAlignment="1">
      <alignment horizontal="left" vertical="center"/>
    </xf>
    <xf numFmtId="4" fontId="36" fillId="9" borderId="0" xfId="0" applyNumberFormat="1" applyFont="1" applyFill="1" applyAlignment="1">
      <alignment horizontal="right" vertical="center" wrapText="1" readingOrder="1"/>
    </xf>
    <xf numFmtId="4" fontId="37" fillId="9" borderId="0" xfId="0" applyNumberFormat="1" applyFont="1" applyFill="1" applyAlignment="1">
      <alignment horizontal="right" vertical="center" wrapText="1"/>
    </xf>
    <xf numFmtId="0" fontId="37" fillId="9" borderId="0" xfId="0" applyFont="1" applyFill="1" applyAlignment="1">
      <alignment horizontal="right" vertical="center" wrapText="1"/>
    </xf>
    <xf numFmtId="10" fontId="38" fillId="9" borderId="0" xfId="0" applyNumberFormat="1" applyFont="1" applyFill="1" applyAlignment="1">
      <alignment horizontal="right" vertical="center" readingOrder="1"/>
    </xf>
    <xf numFmtId="4" fontId="39" fillId="9" borderId="0" xfId="0" applyNumberFormat="1" applyFont="1" applyFill="1" applyAlignment="1">
      <alignment horizontal="right" vertical="center" wrapText="1" readingOrder="1"/>
    </xf>
    <xf numFmtId="10" fontId="40" fillId="9" borderId="0" xfId="0" applyNumberFormat="1" applyFont="1" applyFill="1" applyAlignment="1">
      <alignment horizontal="right" vertical="center" readingOrder="1"/>
    </xf>
    <xf numFmtId="14" fontId="0" fillId="0" borderId="0" xfId="0" applyNumberFormat="1"/>
    <xf numFmtId="178" fontId="5" fillId="0" borderId="0" xfId="1" applyNumberFormat="1" applyFont="1"/>
    <xf numFmtId="0" fontId="27" fillId="0" borderId="0" xfId="0" applyFont="1"/>
    <xf numFmtId="2" fontId="27" fillId="7" borderId="7" xfId="0" applyNumberFormat="1" applyFont="1" applyFill="1" applyBorder="1"/>
    <xf numFmtId="179" fontId="37" fillId="9" borderId="0" xfId="0" applyNumberFormat="1" applyFont="1" applyFill="1" applyAlignment="1">
      <alignment horizontal="right" vertical="center" wrapText="1"/>
    </xf>
    <xf numFmtId="0" fontId="13" fillId="0" borderId="21" xfId="0" applyFont="1" applyBorder="1"/>
    <xf numFmtId="14" fontId="13" fillId="0" borderId="0" xfId="0" applyNumberFormat="1" applyFont="1"/>
    <xf numFmtId="180" fontId="13" fillId="0" borderId="0" xfId="0" applyNumberFormat="1" applyFont="1"/>
    <xf numFmtId="3" fontId="13" fillId="0" borderId="0" xfId="0" applyNumberFormat="1" applyFont="1"/>
    <xf numFmtId="0" fontId="16" fillId="0" borderId="21" xfId="0" applyFont="1" applyBorder="1"/>
    <xf numFmtId="171" fontId="16" fillId="0" borderId="1" xfId="0" applyNumberFormat="1" applyFont="1" applyBorder="1" applyAlignment="1">
      <alignment horizontal="right"/>
    </xf>
    <xf numFmtId="14" fontId="18" fillId="0" borderId="0" xfId="0" applyNumberFormat="1" applyFont="1"/>
    <xf numFmtId="2" fontId="18" fillId="0" borderId="0" xfId="0" applyNumberFormat="1" applyFont="1"/>
    <xf numFmtId="171" fontId="12" fillId="2" borderId="0" xfId="0" applyNumberFormat="1" applyFont="1" applyFill="1"/>
    <xf numFmtId="0" fontId="16" fillId="0" borderId="0" xfId="0" applyFont="1" applyAlignment="1">
      <alignment horizontal="center"/>
    </xf>
    <xf numFmtId="4" fontId="33" fillId="9" borderId="22" xfId="0" applyNumberFormat="1" applyFont="1" applyFill="1" applyBorder="1" applyAlignment="1">
      <alignment horizontal="center" vertical="center" wrapText="1" readingOrder="1"/>
    </xf>
    <xf numFmtId="4" fontId="41" fillId="9" borderId="23" xfId="0" applyNumberFormat="1" applyFont="1" applyFill="1" applyBorder="1" applyAlignment="1">
      <alignment horizontal="center" vertical="center" wrapText="1"/>
    </xf>
    <xf numFmtId="4" fontId="33" fillId="9" borderId="24" xfId="0" applyNumberFormat="1" applyFont="1" applyFill="1" applyBorder="1" applyAlignment="1">
      <alignment horizontal="center" vertical="center" wrapText="1" readingOrder="1"/>
    </xf>
    <xf numFmtId="9" fontId="41" fillId="9" borderId="25" xfId="1" applyFont="1" applyFill="1" applyBorder="1" applyAlignment="1">
      <alignment horizontal="center" vertical="center" wrapText="1"/>
    </xf>
    <xf numFmtId="4" fontId="41" fillId="9" borderId="25" xfId="0" applyNumberFormat="1" applyFont="1" applyFill="1" applyBorder="1" applyAlignment="1">
      <alignment horizontal="center" vertical="center" wrapText="1"/>
    </xf>
    <xf numFmtId="4" fontId="33" fillId="9" borderId="26" xfId="0" applyNumberFormat="1" applyFont="1" applyFill="1" applyBorder="1" applyAlignment="1">
      <alignment horizontal="center" vertical="center" wrapText="1" readingOrder="1"/>
    </xf>
    <xf numFmtId="9" fontId="41" fillId="9" borderId="27" xfId="1" applyFont="1" applyFill="1" applyBorder="1" applyAlignment="1">
      <alignment horizontal="center" vertical="center" wrapText="1"/>
    </xf>
    <xf numFmtId="0" fontId="42" fillId="0" borderId="20" xfId="0" applyFont="1" applyBorder="1" applyAlignment="1">
      <alignment horizontal="centerContinuous"/>
    </xf>
    <xf numFmtId="0" fontId="5" fillId="0" borderId="19" xfId="0" applyFont="1" applyBorder="1"/>
    <xf numFmtId="0" fontId="42" fillId="0" borderId="20" xfId="0" applyFont="1" applyBorder="1" applyAlignment="1">
      <alignment horizontal="center"/>
    </xf>
    <xf numFmtId="0" fontId="21" fillId="0" borderId="19" xfId="0" applyFont="1" applyBorder="1"/>
    <xf numFmtId="9" fontId="0" fillId="0" borderId="0" xfId="1" applyFont="1"/>
    <xf numFmtId="9" fontId="13" fillId="0" borderId="0" xfId="1" applyFont="1"/>
    <xf numFmtId="0" fontId="16" fillId="0" borderId="1" xfId="0" applyFont="1" applyBorder="1" applyAlignment="1">
      <alignment horizontal="center"/>
    </xf>
    <xf numFmtId="171" fontId="16" fillId="0" borderId="1" xfId="0" applyNumberFormat="1" applyFont="1" applyBorder="1"/>
    <xf numFmtId="185" fontId="12" fillId="2" borderId="6" xfId="0" applyNumberFormat="1" applyFont="1" applyFill="1" applyBorder="1"/>
    <xf numFmtId="0" fontId="12" fillId="4" borderId="0" xfId="0" applyFont="1" applyFill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5" fillId="3" borderId="0" xfId="0" applyFont="1" applyFill="1"/>
    <xf numFmtId="0" fontId="4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0" fillId="11" borderId="1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0" fillId="13" borderId="28" xfId="0" applyFont="1" applyFill="1" applyBorder="1" applyAlignment="1">
      <alignment horizontal="left" vertical="center"/>
    </xf>
    <xf numFmtId="0" fontId="51" fillId="14" borderId="0" xfId="0" applyFont="1" applyFill="1" applyAlignment="1">
      <alignment horizontal="left" vertical="center" indent="1"/>
    </xf>
    <xf numFmtId="0" fontId="5" fillId="14" borderId="0" xfId="0" applyFont="1" applyFill="1"/>
    <xf numFmtId="0" fontId="50" fillId="11" borderId="28" xfId="0" applyFont="1" applyFill="1" applyBorder="1" applyAlignment="1">
      <alignment horizontal="center" vertical="center"/>
    </xf>
    <xf numFmtId="0" fontId="50" fillId="12" borderId="28" xfId="0" applyFont="1" applyFill="1" applyBorder="1" applyAlignment="1">
      <alignment horizontal="center" vertical="center"/>
    </xf>
    <xf numFmtId="0" fontId="50" fillId="13" borderId="28" xfId="0" applyFont="1" applyFill="1" applyBorder="1" applyAlignment="1">
      <alignment horizontal="center" vertical="center"/>
    </xf>
    <xf numFmtId="0" fontId="5" fillId="15" borderId="0" xfId="0" applyFont="1" applyFill="1"/>
    <xf numFmtId="0" fontId="11" fillId="14" borderId="0" xfId="0" applyFont="1" applyFill="1"/>
    <xf numFmtId="0" fontId="5" fillId="11" borderId="0" xfId="0" applyFont="1" applyFill="1"/>
    <xf numFmtId="0" fontId="5" fillId="12" borderId="0" xfId="0" applyFont="1" applyFill="1"/>
    <xf numFmtId="0" fontId="5" fillId="13" borderId="0" xfId="0" applyFont="1" applyFill="1"/>
    <xf numFmtId="0" fontId="52" fillId="3" borderId="0" xfId="0" applyFont="1" applyFill="1" applyAlignment="1">
      <alignment horizontal="left" indent="1"/>
    </xf>
    <xf numFmtId="192" fontId="5" fillId="15" borderId="0" xfId="0" applyNumberFormat="1" applyFont="1" applyFill="1"/>
    <xf numFmtId="192" fontId="5" fillId="11" borderId="0" xfId="0" applyNumberFormat="1" applyFont="1" applyFill="1"/>
    <xf numFmtId="192" fontId="5" fillId="12" borderId="0" xfId="0" applyNumberFormat="1" applyFont="1" applyFill="1"/>
    <xf numFmtId="192" fontId="5" fillId="13" borderId="0" xfId="0" applyNumberFormat="1" applyFont="1" applyFill="1"/>
    <xf numFmtId="0" fontId="11" fillId="14" borderId="0" xfId="0" applyFont="1" applyFill="1" applyAlignment="1">
      <alignment horizontal="left"/>
    </xf>
    <xf numFmtId="192" fontId="5" fillId="15" borderId="0" xfId="1" applyNumberFormat="1" applyFont="1" applyFill="1"/>
    <xf numFmtId="192" fontId="5" fillId="11" borderId="0" xfId="1" applyNumberFormat="1" applyFont="1" applyFill="1"/>
    <xf numFmtId="192" fontId="5" fillId="12" borderId="0" xfId="1" applyNumberFormat="1" applyFont="1" applyFill="1"/>
    <xf numFmtId="0" fontId="11" fillId="16" borderId="0" xfId="0" applyFont="1" applyFill="1" applyAlignment="1">
      <alignment horizontal="center" vertical="center"/>
    </xf>
    <xf numFmtId="0" fontId="53" fillId="10" borderId="0" xfId="0" applyFont="1" applyFill="1" applyAlignment="1">
      <alignment horizontal="center" vertical="center"/>
    </xf>
    <xf numFmtId="0" fontId="51" fillId="14" borderId="0" xfId="0" applyFont="1" applyFill="1" applyAlignment="1">
      <alignment horizontal="center" vertical="center"/>
    </xf>
    <xf numFmtId="10" fontId="5" fillId="3" borderId="0" xfId="0" applyNumberFormat="1" applyFont="1" applyFill="1"/>
    <xf numFmtId="2" fontId="5" fillId="3" borderId="0" xfId="0" applyNumberFormat="1" applyFont="1" applyFill="1"/>
    <xf numFmtId="0" fontId="53" fillId="10" borderId="29" xfId="0" applyFont="1" applyFill="1" applyBorder="1" applyAlignment="1">
      <alignment horizontal="center"/>
    </xf>
    <xf numFmtId="10" fontId="53" fillId="10" borderId="29" xfId="0" applyNumberFormat="1" applyFont="1" applyFill="1" applyBorder="1"/>
    <xf numFmtId="9" fontId="5" fillId="3" borderId="0" xfId="1" applyFont="1" applyFill="1"/>
    <xf numFmtId="10" fontId="5" fillId="3" borderId="0" xfId="1" applyNumberFormat="1" applyFont="1" applyFill="1"/>
  </cellXfs>
  <cellStyles count="8">
    <cellStyle name="Comma 5" xfId="4" xr:uid="{ABE2D632-C74B-4617-80B4-01B684E6D91C}"/>
    <cellStyle name="Hyperlink 3" xfId="7" xr:uid="{769F0232-C0A3-463B-BD46-668CD1110D64}"/>
    <cellStyle name="Normal" xfId="0" builtinId="0"/>
    <cellStyle name="Normal 2 2 2" xfId="5" xr:uid="{32D9EF5B-3B49-44BC-9B7B-1E4265346B75}"/>
    <cellStyle name="Normal 5 2" xfId="2" xr:uid="{054CA8CE-58AF-4D9A-8B47-EACB4F11FD57}"/>
    <cellStyle name="Normal 6" xfId="3" xr:uid="{55B038CA-02FE-40F4-BE32-EB8859A192E7}"/>
    <cellStyle name="Percent" xfId="1" builtinId="5"/>
    <cellStyle name="Percent 5" xfId="6" xr:uid="{95CDC2BB-B7EC-4E9B-9CAE-3A524AD742A8}"/>
  </cellStyles>
  <dxfs count="0"/>
  <tableStyles count="0" defaultTableStyle="TableStyleMedium2" defaultPivotStyle="PivotStyleLight16"/>
  <colors>
    <mruColors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Valuation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7222222222222221E-2"/>
                  <c:y val="-4.62962962962962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494-4C70-AD1F-5A37E3BF475F}"/>
                </c:ext>
              </c:extLst>
            </c:dLbl>
            <c:dLbl>
              <c:idx val="1"/>
              <c:layout>
                <c:manualLayout>
                  <c:x val="-0.05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494-4C70-AD1F-5A37E3BF475F}"/>
                </c:ext>
              </c:extLst>
            </c:dLbl>
            <c:dLbl>
              <c:idx val="2"/>
              <c:layout>
                <c:manualLayout>
                  <c:x val="-0.05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494-4C70-AD1F-5A37E3BF47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'Valuation Summary'!$H$7:$J$7</c:f>
              <c:numCache>
                <c:formatCode>##,###;\(##,###\);"-"</c:formatCode>
                <c:ptCount val="3"/>
                <c:pt idx="0">
                  <c:v>7783.6882861777794</c:v>
                </c:pt>
                <c:pt idx="1">
                  <c:v>5303.5</c:v>
                </c:pt>
                <c:pt idx="2">
                  <c:v>6170.35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94-4C70-AD1F-5A37E3BF475F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'Valuation Summary'!$H$8:$J$8</c:f>
              <c:numCache>
                <c:formatCode>##,###;\(##,###\);"-"</c:formatCode>
                <c:ptCount val="3"/>
                <c:pt idx="0">
                  <c:v>7783.6882861777794</c:v>
                </c:pt>
                <c:pt idx="1">
                  <c:v>5303.5</c:v>
                </c:pt>
                <c:pt idx="2">
                  <c:v>6170.35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94-4C70-AD1F-5A37E3BF475F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5"/>
                  <c:y val="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494-4C70-AD1F-5A37E3BF475F}"/>
                </c:ext>
              </c:extLst>
            </c:dLbl>
            <c:dLbl>
              <c:idx val="1"/>
              <c:layout>
                <c:manualLayout>
                  <c:x val="-4.7222222222222221E-2"/>
                  <c:y val="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494-4C70-AD1F-5A37E3BF475F}"/>
                </c:ext>
              </c:extLst>
            </c:dLbl>
            <c:dLbl>
              <c:idx val="2"/>
              <c:layout>
                <c:manualLayout>
                  <c:x val="-0.05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494-4C70-AD1F-5A37E3BF47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'Valuation Summary'!$H$9:$J$9</c:f>
              <c:numCache>
                <c:formatCode>##,###;\(##,###\);"-"</c:formatCode>
                <c:ptCount val="3"/>
                <c:pt idx="0">
                  <c:v>4006.6464028599926</c:v>
                </c:pt>
                <c:pt idx="1">
                  <c:v>4572.6077040444179</c:v>
                </c:pt>
                <c:pt idx="2">
                  <c:v>2614.39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94-4C70-AD1F-5A37E3BF475F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'Valuation Summary'!$H$10:$J$10</c:f>
              <c:numCache>
                <c:formatCode>##,###;\(##,###\);"-"</c:formatCode>
                <c:ptCount val="3"/>
                <c:pt idx="0">
                  <c:v>4006.6464028599926</c:v>
                </c:pt>
                <c:pt idx="1">
                  <c:v>4572.6077040444179</c:v>
                </c:pt>
                <c:pt idx="2">
                  <c:v>2614.39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94-4C70-AD1F-5A37E3BF47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rgbClr val="00206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426998544"/>
        <c:axId val="426999504"/>
      </c:stockChart>
      <c:catAx>
        <c:axId val="42699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99504"/>
        <c:crosses val="autoZero"/>
        <c:auto val="1"/>
        <c:lblAlgn val="ctr"/>
        <c:lblOffset val="100"/>
        <c:noMultiLvlLbl val="0"/>
      </c:catAx>
      <c:valAx>
        <c:axId val="426999504"/>
        <c:scaling>
          <c:orientation val="minMax"/>
        </c:scaling>
        <c:delete val="0"/>
        <c:axPos val="l"/>
        <c:numFmt formatCode="##,###;\(##,###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9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807720</xdr:colOff>
      <xdr:row>13</xdr:row>
      <xdr:rowOff>152400</xdr:rowOff>
    </xdr:from>
    <xdr:to>
      <xdr:col>9</xdr:col>
      <xdr:colOff>304800</xdr:colOff>
      <xdr:row>29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9E0986-4803-214F-9BBD-C1E5E3EB2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327660</xdr:colOff>
      <xdr:row>20</xdr:row>
      <xdr:rowOff>114300</xdr:rowOff>
    </xdr:from>
    <xdr:to>
      <xdr:col>9</xdr:col>
      <xdr:colOff>137160</xdr:colOff>
      <xdr:row>20</xdr:row>
      <xdr:rowOff>129540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E95AE09-C206-29F7-64A9-8B48520D6B2D}"/>
            </a:ext>
          </a:extLst>
        </xdr:cNvPr>
        <xdr:cNvCxnSpPr/>
      </xdr:nvCxnSpPr>
      <xdr:spPr>
        <a:xfrm flipV="1">
          <a:off x="1668780" y="4076700"/>
          <a:ext cx="3909060" cy="1524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8</xdr:row>
      <xdr:rowOff>91440</xdr:rowOff>
    </xdr:from>
    <xdr:to>
      <xdr:col>8</xdr:col>
      <xdr:colOff>845820</xdr:colOff>
      <xdr:row>8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2A613A6-1582-818F-7733-2165AC6F9CB4}"/>
            </a:ext>
          </a:extLst>
        </xdr:cNvPr>
        <xdr:cNvCxnSpPr/>
      </xdr:nvCxnSpPr>
      <xdr:spPr>
        <a:xfrm flipV="1">
          <a:off x="7025640" y="1798320"/>
          <a:ext cx="8153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y%20Courses\New%20IB%20Course%202023\New%20Exercise%20Files\DCF%20model%20files\Model\Alkem%20DCF%20model.xlsx" TargetMode="External"/><Relationship Id="rId1" Type="http://schemas.openxmlformats.org/officeDocument/2006/relationships/externalLinkPath" Target="/My%20Courses/New%20IB%20Course%202023/New%20Exercise%20Files/DCF%20model%20files/Model/Alkem%20DCF%20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DCF%20model%20files\Model\Alkem_DCF_model_Solved.xlsx" TargetMode="External"/><Relationship Id="rId1" Type="http://schemas.openxmlformats.org/officeDocument/2006/relationships/externalLinkPath" Target="/Downloads/DCF%20model%20files/Model/Alkem_DCF_model_Solv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odel"/>
      <sheetName val="WACC"/>
      <sheetName val="Beta"/>
      <sheetName val="Market_Data"/>
      <sheetName val="Comps"/>
      <sheetName val="Summary"/>
      <sheetName val="Historical"/>
      <sheetName val="Temp"/>
    </sheetNames>
    <sheetDataSet>
      <sheetData sheetId="0"/>
      <sheetData sheetId="1">
        <row r="15">
          <cell r="M15">
            <v>0.14327157630121706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istorical"/>
      <sheetName val="Model"/>
      <sheetName val="Scenarios"/>
      <sheetName val="Comps"/>
      <sheetName val="Comps_Data"/>
      <sheetName val="Market_Data"/>
      <sheetName val="WACC"/>
      <sheetName val="Beta"/>
      <sheetName val="Summary"/>
      <sheetName val="Temp"/>
    </sheetNames>
    <sheetDataSet>
      <sheetData sheetId="0"/>
      <sheetData sheetId="1"/>
      <sheetData sheetId="2">
        <row r="133">
          <cell r="E133">
            <v>0.15679999999999999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FE69-9057-472D-BC99-0C8EC9E19FD0}">
  <dimension ref="A1:AE143"/>
  <sheetViews>
    <sheetView showGridLines="0" zoomScaleNormal="100" workbookViewId="0">
      <selection sqref="A1:F2"/>
    </sheetView>
  </sheetViews>
  <sheetFormatPr defaultColWidth="11.6640625" defaultRowHeight="15.6" x14ac:dyDescent="0.3"/>
  <cols>
    <col min="1" max="1" width="1.21875" style="6" customWidth="1"/>
    <col min="2" max="3" width="1.21875" style="34" customWidth="1"/>
    <col min="4" max="4" width="40.6640625" style="34" customWidth="1"/>
    <col min="5" max="6" width="12.6640625" style="34" customWidth="1"/>
    <col min="7" max="7" width="2.6640625" style="34" customWidth="1"/>
    <col min="8" max="13" width="11.6640625" style="34"/>
    <col min="14" max="14" width="11.6640625" style="34" customWidth="1"/>
    <col min="15" max="16384" width="11.6640625" style="34"/>
  </cols>
  <sheetData>
    <row r="1" spans="1:31" s="6" customFormat="1" ht="33.6" x14ac:dyDescent="0.65">
      <c r="A1" s="1" t="str">
        <f>Historical!A1</f>
        <v>Alkem Laboratories</v>
      </c>
      <c r="B1" s="1"/>
      <c r="C1" s="1"/>
      <c r="D1" s="1"/>
      <c r="E1" s="1"/>
      <c r="F1" s="1"/>
      <c r="G1" s="1"/>
      <c r="H1" s="171"/>
      <c r="I1" s="171"/>
      <c r="J1" s="171"/>
      <c r="K1" s="171"/>
      <c r="L1" s="172"/>
      <c r="M1" s="173"/>
      <c r="N1" s="174"/>
      <c r="O1" s="174"/>
      <c r="P1" s="174"/>
      <c r="Q1" s="174"/>
    </row>
    <row r="2" spans="1:31" s="6" customFormat="1" x14ac:dyDescent="0.3">
      <c r="A2" s="31"/>
      <c r="B2" s="4"/>
      <c r="C2" s="4"/>
      <c r="D2" s="4"/>
      <c r="E2" s="4"/>
      <c r="F2" s="4"/>
      <c r="G2" s="4"/>
      <c r="H2" s="32"/>
      <c r="I2" s="32"/>
      <c r="J2" s="32"/>
      <c r="K2" s="32"/>
      <c r="L2" s="32"/>
      <c r="M2" s="33"/>
      <c r="N2" s="30"/>
      <c r="O2" s="30"/>
      <c r="P2" s="30"/>
      <c r="Q2" s="30"/>
    </row>
    <row r="3" spans="1:31" s="6" customFormat="1" ht="13.8" x14ac:dyDescent="0.3"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</row>
    <row r="4" spans="1:31" s="6" customFormat="1" ht="13.8" x14ac:dyDescent="0.3"/>
    <row r="5" spans="1:31" s="5" customFormat="1" ht="21" x14ac:dyDescent="0.4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31" s="6" customFormat="1" x14ac:dyDescent="0.3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</row>
    <row r="7" spans="1:31" s="6" customFormat="1" x14ac:dyDescent="0.3">
      <c r="A7" s="34"/>
      <c r="B7" s="34"/>
      <c r="C7" s="34"/>
      <c r="D7" s="34"/>
      <c r="E7" s="34"/>
      <c r="F7" s="40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</row>
    <row r="8" spans="1:31" s="6" customFormat="1" x14ac:dyDescent="0.3">
      <c r="A8" s="34"/>
      <c r="B8" s="34"/>
      <c r="C8" s="34"/>
      <c r="D8" s="34"/>
      <c r="E8" s="34"/>
      <c r="F8" s="34"/>
      <c r="G8" s="34"/>
      <c r="H8" s="34"/>
      <c r="I8" s="55"/>
      <c r="J8" s="55"/>
      <c r="K8" s="55"/>
      <c r="L8" s="55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</row>
    <row r="9" spans="1:31" s="6" customFormat="1" x14ac:dyDescent="0.3">
      <c r="A9" s="34"/>
      <c r="B9" s="34"/>
      <c r="C9" s="34"/>
      <c r="D9" s="34"/>
      <c r="E9" s="34"/>
      <c r="F9" s="34"/>
      <c r="G9" s="34"/>
      <c r="H9" s="55"/>
      <c r="I9" s="55"/>
      <c r="J9" s="55"/>
      <c r="K9" s="55"/>
      <c r="L9" s="55"/>
      <c r="M9" s="58"/>
      <c r="N9" s="58"/>
      <c r="O9" s="58"/>
      <c r="P9" s="58"/>
      <c r="Q9" s="58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</row>
    <row r="10" spans="1:31" s="6" customFormat="1" x14ac:dyDescent="0.3">
      <c r="A10" s="34"/>
      <c r="B10" s="34"/>
      <c r="C10" s="34"/>
      <c r="D10" s="34"/>
      <c r="E10" s="34"/>
      <c r="F10" s="34"/>
      <c r="G10" s="34"/>
      <c r="H10" s="55"/>
      <c r="I10" s="55"/>
      <c r="J10" s="55"/>
      <c r="K10" s="55"/>
      <c r="L10" s="55"/>
      <c r="M10" s="58"/>
      <c r="N10" s="58"/>
      <c r="O10" s="58"/>
      <c r="P10" s="58"/>
      <c r="Q10" s="58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</row>
    <row r="11" spans="1:31" s="6" customFormat="1" x14ac:dyDescent="0.3">
      <c r="A11" s="34"/>
      <c r="B11" s="34"/>
      <c r="C11" s="34"/>
      <c r="D11" s="34"/>
      <c r="E11" s="34"/>
      <c r="F11" s="34"/>
      <c r="G11" s="34"/>
      <c r="H11" s="55"/>
      <c r="I11" s="55"/>
      <c r="J11" s="55"/>
      <c r="K11" s="55"/>
      <c r="L11" s="55"/>
      <c r="M11" s="58"/>
      <c r="N11" s="58"/>
      <c r="O11" s="58"/>
      <c r="P11" s="58"/>
      <c r="Q11" s="58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</row>
    <row r="12" spans="1:31" s="6" customFormat="1" x14ac:dyDescent="0.3">
      <c r="A12" s="34"/>
      <c r="B12" s="34"/>
      <c r="C12" s="34"/>
      <c r="D12" s="34"/>
      <c r="E12" s="34"/>
      <c r="F12" s="34"/>
      <c r="G12" s="34"/>
      <c r="H12" s="55"/>
      <c r="I12" s="55"/>
      <c r="J12" s="55"/>
      <c r="K12" s="55"/>
      <c r="L12" s="55"/>
      <c r="M12" s="58"/>
      <c r="N12" s="58"/>
      <c r="O12" s="58"/>
      <c r="P12" s="58"/>
      <c r="Q12" s="58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</row>
    <row r="13" spans="1:31" s="6" customFormat="1" x14ac:dyDescent="0.3">
      <c r="A13" s="34"/>
      <c r="B13" s="34"/>
      <c r="C13" s="34"/>
      <c r="D13" s="34"/>
      <c r="E13" s="34"/>
      <c r="F13" s="34"/>
      <c r="G13" s="34"/>
      <c r="H13" s="55"/>
      <c r="I13" s="55"/>
      <c r="J13" s="55"/>
      <c r="K13" s="55"/>
      <c r="L13" s="55"/>
      <c r="M13" s="58"/>
      <c r="N13" s="58"/>
      <c r="O13" s="58"/>
      <c r="P13" s="58"/>
      <c r="Q13" s="58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</row>
    <row r="14" spans="1:31" s="6" customFormat="1" x14ac:dyDescent="0.3">
      <c r="A14" s="34"/>
      <c r="B14" s="34"/>
      <c r="C14" s="34"/>
      <c r="D14" s="34"/>
      <c r="E14" s="34"/>
      <c r="F14" s="34"/>
      <c r="G14" s="34"/>
      <c r="H14" s="55"/>
      <c r="I14" s="55"/>
      <c r="J14" s="55"/>
      <c r="K14" s="55"/>
      <c r="L14" s="55"/>
      <c r="M14" s="58"/>
      <c r="N14" s="58"/>
      <c r="O14" s="58"/>
      <c r="P14" s="58"/>
      <c r="Q14" s="58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</row>
    <row r="15" spans="1:31" s="6" customFormat="1" x14ac:dyDescent="0.3">
      <c r="A15" s="34"/>
      <c r="B15" s="34"/>
      <c r="C15" s="34"/>
      <c r="D15" s="34"/>
      <c r="E15" s="34"/>
      <c r="F15" s="34"/>
      <c r="G15" s="34"/>
      <c r="H15" s="55"/>
      <c r="I15" s="55"/>
      <c r="J15" s="55"/>
      <c r="K15" s="55"/>
      <c r="L15" s="55"/>
      <c r="M15" s="58"/>
      <c r="N15" s="58"/>
      <c r="O15" s="58"/>
      <c r="P15" s="58"/>
      <c r="Q15" s="58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</row>
    <row r="16" spans="1:31" s="6" customFormat="1" x14ac:dyDescent="0.3">
      <c r="A16" s="34"/>
      <c r="B16" s="34"/>
      <c r="C16" s="34"/>
      <c r="D16" s="34"/>
      <c r="E16" s="34"/>
      <c r="F16" s="34"/>
      <c r="G16" s="34"/>
      <c r="H16" s="55"/>
      <c r="I16" s="55"/>
      <c r="J16" s="55"/>
      <c r="K16" s="55"/>
      <c r="L16" s="55"/>
      <c r="M16" s="58"/>
      <c r="N16" s="58"/>
      <c r="O16" s="58"/>
      <c r="P16" s="58"/>
      <c r="Q16" s="58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</row>
    <row r="17" spans="1:31" s="6" customFormat="1" x14ac:dyDescent="0.3">
      <c r="A17" s="34"/>
      <c r="B17" s="34"/>
      <c r="C17" s="34"/>
      <c r="D17" s="34"/>
      <c r="E17" s="34"/>
      <c r="F17" s="34"/>
      <c r="G17" s="34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</row>
    <row r="18" spans="1:31" s="6" customFormat="1" x14ac:dyDescent="0.3">
      <c r="A18" s="34"/>
      <c r="B18" s="34"/>
      <c r="C18" s="34"/>
      <c r="D18" s="34"/>
      <c r="E18" s="34"/>
      <c r="F18" s="34"/>
      <c r="G18" s="34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</row>
    <row r="19" spans="1:31" s="6" customFormat="1" x14ac:dyDescent="0.3">
      <c r="A19" s="34"/>
      <c r="B19" s="34"/>
      <c r="C19" s="34"/>
      <c r="D19" s="34"/>
      <c r="E19" s="34"/>
      <c r="F19" s="34"/>
      <c r="G19" s="34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</row>
    <row r="20" spans="1:31" s="6" customFormat="1" x14ac:dyDescent="0.3">
      <c r="A20" s="34"/>
      <c r="B20" s="34"/>
      <c r="C20" s="34"/>
      <c r="D20" s="34"/>
      <c r="E20" s="34"/>
      <c r="F20" s="34"/>
      <c r="G20" s="34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</row>
    <row r="21" spans="1:31" s="6" customFormat="1" x14ac:dyDescent="0.3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</row>
    <row r="22" spans="1:31" s="6" customFormat="1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</row>
    <row r="23" spans="1:31" s="5" customFormat="1" ht="21" x14ac:dyDescent="0.4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31" x14ac:dyDescent="0.3">
      <c r="B24" s="40"/>
    </row>
    <row r="25" spans="1:31" x14ac:dyDescent="0.3">
      <c r="D25" s="40"/>
      <c r="E25" s="40"/>
      <c r="G25" s="40"/>
      <c r="H25" s="41"/>
      <c r="I25" s="41"/>
      <c r="J25" s="41"/>
      <c r="K25" s="41"/>
      <c r="L25" s="41"/>
      <c r="M25" s="42"/>
      <c r="N25" s="42"/>
      <c r="O25" s="42"/>
      <c r="P25" s="42"/>
      <c r="Q25" s="42"/>
    </row>
    <row r="26" spans="1:31" x14ac:dyDescent="0.3">
      <c r="H26" s="46"/>
      <c r="I26" s="46"/>
      <c r="J26" s="46"/>
      <c r="K26" s="46"/>
      <c r="L26" s="46"/>
      <c r="M26" s="43"/>
      <c r="N26" s="43"/>
      <c r="O26" s="43"/>
      <c r="P26" s="43"/>
      <c r="Q26" s="43"/>
    </row>
    <row r="27" spans="1:31" x14ac:dyDescent="0.3">
      <c r="D27" s="39"/>
      <c r="E27" s="39"/>
      <c r="F27" s="38"/>
      <c r="G27" s="39"/>
      <c r="H27" s="44"/>
      <c r="I27" s="44"/>
      <c r="J27" s="44"/>
      <c r="K27" s="44"/>
      <c r="L27" s="44"/>
      <c r="M27" s="44"/>
      <c r="N27" s="44"/>
      <c r="O27" s="44"/>
      <c r="P27" s="44"/>
      <c r="Q27" s="44"/>
    </row>
    <row r="28" spans="1:31" x14ac:dyDescent="0.3">
      <c r="B28" s="40"/>
      <c r="H28" s="43"/>
      <c r="I28" s="43"/>
      <c r="J28" s="43"/>
      <c r="K28" s="43"/>
      <c r="L28" s="43"/>
      <c r="M28" s="43"/>
      <c r="N28" s="43"/>
      <c r="O28" s="43"/>
      <c r="P28" s="43"/>
      <c r="Q28" s="43"/>
    </row>
    <row r="29" spans="1:31" x14ac:dyDescent="0.3">
      <c r="H29" s="46"/>
      <c r="I29" s="46"/>
      <c r="J29" s="46"/>
      <c r="K29" s="46"/>
      <c r="L29" s="46"/>
      <c r="M29" s="43"/>
      <c r="N29" s="43"/>
      <c r="O29" s="43"/>
      <c r="P29" s="43"/>
      <c r="Q29" s="43"/>
      <c r="T29" s="35"/>
    </row>
    <row r="30" spans="1:31" x14ac:dyDescent="0.3">
      <c r="H30" s="46"/>
      <c r="I30" s="46"/>
      <c r="J30" s="46"/>
      <c r="K30" s="46"/>
      <c r="L30" s="46"/>
      <c r="M30" s="43"/>
      <c r="N30" s="43"/>
      <c r="O30" s="43"/>
      <c r="P30" s="43"/>
      <c r="Q30" s="43"/>
      <c r="T30" s="36"/>
      <c r="U30" s="36"/>
    </row>
    <row r="31" spans="1:31" x14ac:dyDescent="0.3">
      <c r="D31" s="39"/>
      <c r="E31" s="39"/>
      <c r="F31" s="38"/>
      <c r="G31" s="39"/>
      <c r="H31" s="44"/>
      <c r="I31" s="44"/>
      <c r="J31" s="44"/>
      <c r="K31" s="44"/>
      <c r="L31" s="44"/>
      <c r="M31" s="45"/>
      <c r="N31" s="45"/>
      <c r="O31" s="45"/>
      <c r="P31" s="45"/>
      <c r="Q31" s="45"/>
    </row>
    <row r="32" spans="1:31" x14ac:dyDescent="0.3">
      <c r="H32" s="46"/>
      <c r="I32" s="46"/>
      <c r="J32" s="46"/>
      <c r="K32" s="46"/>
      <c r="L32" s="46"/>
      <c r="M32" s="43"/>
      <c r="N32" s="43"/>
      <c r="O32" s="43"/>
      <c r="P32" s="43"/>
      <c r="Q32" s="43"/>
    </row>
    <row r="33" spans="1:17" x14ac:dyDescent="0.3">
      <c r="D33" s="39"/>
      <c r="E33" s="39"/>
      <c r="F33" s="38"/>
      <c r="G33" s="39"/>
      <c r="H33" s="44"/>
      <c r="I33" s="44"/>
      <c r="J33" s="44"/>
      <c r="K33" s="44"/>
      <c r="L33" s="44"/>
      <c r="M33" s="45"/>
      <c r="N33" s="45"/>
      <c r="O33" s="45"/>
      <c r="P33" s="45"/>
      <c r="Q33" s="45"/>
    </row>
    <row r="34" spans="1:17" x14ac:dyDescent="0.3">
      <c r="H34" s="46"/>
      <c r="I34" s="46"/>
      <c r="J34" s="46"/>
      <c r="K34" s="46"/>
      <c r="L34" s="46"/>
      <c r="M34" s="43"/>
      <c r="N34" s="43"/>
      <c r="O34" s="43"/>
      <c r="P34" s="43"/>
      <c r="Q34" s="43"/>
    </row>
    <row r="35" spans="1:17" x14ac:dyDescent="0.3">
      <c r="H35" s="46"/>
      <c r="I35" s="46"/>
      <c r="J35" s="46"/>
      <c r="K35" s="46"/>
      <c r="L35" s="46"/>
      <c r="M35" s="43"/>
      <c r="N35" s="43"/>
      <c r="O35" s="43"/>
      <c r="P35" s="43"/>
      <c r="Q35" s="43"/>
    </row>
    <row r="36" spans="1:17" x14ac:dyDescent="0.3">
      <c r="D36" s="39"/>
      <c r="E36" s="38"/>
      <c r="F36" s="38"/>
      <c r="G36" s="38"/>
      <c r="H36" s="44"/>
      <c r="I36" s="44"/>
      <c r="J36" s="44"/>
      <c r="K36" s="44"/>
      <c r="L36" s="44"/>
      <c r="M36" s="45"/>
      <c r="N36" s="45"/>
      <c r="O36" s="45"/>
      <c r="P36" s="45"/>
      <c r="Q36" s="45"/>
    </row>
    <row r="37" spans="1:17" x14ac:dyDescent="0.3">
      <c r="H37" s="46"/>
      <c r="I37" s="46"/>
      <c r="J37" s="46"/>
      <c r="K37" s="46"/>
      <c r="L37" s="46"/>
      <c r="M37" s="43"/>
      <c r="N37" s="43"/>
      <c r="O37" s="43"/>
      <c r="P37" s="43"/>
      <c r="Q37" s="43"/>
    </row>
    <row r="38" spans="1:17" ht="16.2" thickBot="1" x14ac:dyDescent="0.35">
      <c r="B38" s="37"/>
      <c r="D38" s="47"/>
      <c r="E38" s="48"/>
      <c r="F38" s="48"/>
      <c r="G38" s="48"/>
      <c r="H38" s="49"/>
      <c r="I38" s="49"/>
      <c r="J38" s="49"/>
      <c r="K38" s="49"/>
      <c r="L38" s="49"/>
      <c r="M38" s="50"/>
      <c r="N38" s="50"/>
      <c r="O38" s="50"/>
      <c r="P38" s="50"/>
      <c r="Q38" s="50"/>
    </row>
    <row r="39" spans="1:17" ht="16.2" thickTop="1" x14ac:dyDescent="0.3">
      <c r="H39" s="43"/>
      <c r="I39" s="43"/>
      <c r="J39" s="43"/>
      <c r="K39" s="43"/>
      <c r="L39" s="43"/>
      <c r="M39" s="43"/>
      <c r="N39" s="43"/>
      <c r="O39" s="43"/>
      <c r="P39" s="43"/>
      <c r="Q39" s="43"/>
    </row>
    <row r="40" spans="1:17" x14ac:dyDescent="0.3">
      <c r="H40" s="43"/>
      <c r="I40" s="43"/>
      <c r="J40" s="43"/>
      <c r="K40" s="43"/>
      <c r="L40" s="43"/>
      <c r="M40" s="43"/>
      <c r="N40" s="43"/>
      <c r="O40" s="43"/>
      <c r="P40" s="43"/>
      <c r="Q40" s="43"/>
    </row>
    <row r="41" spans="1:17" s="5" customFormat="1" ht="21" x14ac:dyDescent="0.4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x14ac:dyDescent="0.3">
      <c r="H42" s="43"/>
      <c r="I42" s="43"/>
      <c r="J42" s="43"/>
      <c r="K42" s="43"/>
      <c r="L42" s="43"/>
      <c r="M42" s="43"/>
      <c r="N42" s="43"/>
      <c r="O42" s="43"/>
      <c r="P42" s="43"/>
      <c r="Q42" s="43"/>
    </row>
    <row r="43" spans="1:17" x14ac:dyDescent="0.3">
      <c r="B43" s="40"/>
      <c r="H43" s="43"/>
      <c r="I43" s="43"/>
      <c r="J43" s="43"/>
      <c r="K43" s="43"/>
      <c r="L43" s="43"/>
      <c r="M43" s="43"/>
      <c r="N43" s="43"/>
      <c r="O43" s="43"/>
      <c r="P43" s="43"/>
      <c r="Q43" s="43"/>
    </row>
    <row r="44" spans="1:17" x14ac:dyDescent="0.3">
      <c r="C44" s="40"/>
      <c r="H44" s="43"/>
      <c r="I44" s="43"/>
      <c r="J44" s="43"/>
      <c r="K44" s="43"/>
      <c r="L44" s="43"/>
      <c r="M44" s="43"/>
      <c r="N44" s="43"/>
      <c r="O44" s="43"/>
      <c r="P44" s="43"/>
      <c r="Q44" s="43"/>
    </row>
    <row r="45" spans="1:17" x14ac:dyDescent="0.3">
      <c r="H45" s="46"/>
      <c r="I45" s="46"/>
      <c r="J45" s="46"/>
      <c r="K45" s="46"/>
      <c r="L45" s="46"/>
      <c r="M45" s="43"/>
      <c r="N45" s="43"/>
      <c r="O45" s="43"/>
      <c r="P45" s="43"/>
      <c r="Q45" s="43"/>
    </row>
    <row r="46" spans="1:17" x14ac:dyDescent="0.3">
      <c r="H46" s="46"/>
      <c r="I46" s="46"/>
      <c r="J46" s="46"/>
      <c r="K46" s="46"/>
      <c r="L46" s="46"/>
      <c r="M46" s="43"/>
      <c r="N46" s="43"/>
      <c r="O46" s="43"/>
      <c r="P46" s="43"/>
      <c r="Q46" s="43"/>
    </row>
    <row r="47" spans="1:17" x14ac:dyDescent="0.3">
      <c r="H47" s="46"/>
      <c r="I47" s="46"/>
      <c r="J47" s="46"/>
      <c r="K47" s="46"/>
      <c r="L47" s="46"/>
      <c r="M47" s="43"/>
      <c r="N47" s="43"/>
      <c r="O47" s="43"/>
      <c r="P47" s="43"/>
      <c r="Q47" s="43"/>
    </row>
    <row r="48" spans="1:17" x14ac:dyDescent="0.3">
      <c r="H48" s="46"/>
      <c r="I48" s="46"/>
      <c r="J48" s="46"/>
      <c r="K48" s="46"/>
      <c r="L48" s="46"/>
      <c r="M48" s="43"/>
      <c r="N48" s="43"/>
      <c r="O48" s="43"/>
      <c r="P48" s="43"/>
      <c r="Q48" s="43"/>
    </row>
    <row r="49" spans="2:17" x14ac:dyDescent="0.3">
      <c r="H49" s="46"/>
      <c r="I49" s="46"/>
      <c r="J49" s="46"/>
      <c r="K49" s="46"/>
      <c r="L49" s="46"/>
      <c r="M49" s="43"/>
      <c r="N49" s="43"/>
      <c r="O49" s="43"/>
      <c r="P49" s="43"/>
      <c r="Q49" s="43"/>
    </row>
    <row r="50" spans="2:17" x14ac:dyDescent="0.3">
      <c r="H50" s="46"/>
      <c r="I50" s="46"/>
      <c r="J50" s="46"/>
      <c r="K50" s="46"/>
      <c r="L50" s="46"/>
      <c r="M50" s="43"/>
      <c r="N50" s="43"/>
      <c r="O50" s="43"/>
      <c r="P50" s="43"/>
      <c r="Q50" s="43"/>
    </row>
    <row r="51" spans="2:17" x14ac:dyDescent="0.3">
      <c r="C51" s="40"/>
      <c r="H51" s="46"/>
      <c r="I51" s="46"/>
      <c r="J51" s="46"/>
      <c r="K51" s="46"/>
      <c r="L51" s="46"/>
      <c r="M51" s="43"/>
      <c r="N51" s="43"/>
      <c r="O51" s="43"/>
      <c r="P51" s="43"/>
      <c r="Q51" s="43"/>
    </row>
    <row r="52" spans="2:17" x14ac:dyDescent="0.3">
      <c r="H52" s="46"/>
      <c r="I52" s="46"/>
      <c r="J52" s="46"/>
      <c r="K52" s="46"/>
      <c r="L52" s="46"/>
      <c r="M52" s="43"/>
      <c r="N52" s="43"/>
      <c r="O52" s="43"/>
      <c r="P52" s="43"/>
      <c r="Q52" s="43"/>
    </row>
    <row r="53" spans="2:17" x14ac:dyDescent="0.3">
      <c r="H53" s="46"/>
      <c r="I53" s="46"/>
      <c r="J53" s="46"/>
      <c r="K53" s="46"/>
      <c r="L53" s="46"/>
      <c r="M53" s="43"/>
      <c r="N53" s="43"/>
      <c r="O53" s="43"/>
      <c r="P53" s="43"/>
      <c r="Q53" s="43"/>
    </row>
    <row r="54" spans="2:17" x14ac:dyDescent="0.3">
      <c r="H54" s="46"/>
      <c r="I54" s="46"/>
      <c r="J54" s="46"/>
      <c r="K54" s="46"/>
      <c r="L54" s="46"/>
      <c r="M54" s="43"/>
      <c r="N54" s="43"/>
      <c r="O54" s="43"/>
      <c r="P54" s="43"/>
      <c r="Q54" s="43"/>
    </row>
    <row r="55" spans="2:17" x14ac:dyDescent="0.3">
      <c r="H55" s="46"/>
      <c r="I55" s="46"/>
      <c r="J55" s="46"/>
      <c r="K55" s="46"/>
      <c r="L55" s="46"/>
      <c r="M55" s="43"/>
      <c r="N55" s="43"/>
      <c r="O55" s="43"/>
      <c r="P55" s="43"/>
      <c r="Q55" s="43"/>
    </row>
    <row r="56" spans="2:17" ht="16.2" thickBot="1" x14ac:dyDescent="0.35">
      <c r="D56" s="47"/>
      <c r="E56" s="47"/>
      <c r="F56" s="48"/>
      <c r="G56" s="47"/>
      <c r="H56" s="49"/>
      <c r="I56" s="49"/>
      <c r="J56" s="49"/>
      <c r="K56" s="49"/>
      <c r="L56" s="49"/>
      <c r="M56" s="49"/>
      <c r="N56" s="49"/>
      <c r="O56" s="49"/>
      <c r="P56" s="49"/>
      <c r="Q56" s="49"/>
    </row>
    <row r="57" spans="2:17" ht="16.2" thickTop="1" x14ac:dyDescent="0.3">
      <c r="H57" s="43"/>
      <c r="I57" s="43"/>
      <c r="J57" s="43"/>
      <c r="K57" s="43"/>
      <c r="L57" s="43"/>
      <c r="M57" s="43"/>
      <c r="N57" s="43"/>
      <c r="O57" s="43"/>
      <c r="P57" s="43"/>
      <c r="Q57" s="43"/>
    </row>
    <row r="58" spans="2:17" x14ac:dyDescent="0.3">
      <c r="B58" s="40"/>
      <c r="H58" s="43"/>
      <c r="I58" s="43"/>
      <c r="J58" s="43"/>
      <c r="K58" s="43"/>
      <c r="L58" s="43"/>
      <c r="M58" s="43"/>
      <c r="N58" s="43"/>
      <c r="O58" s="43"/>
      <c r="P58" s="43"/>
      <c r="Q58" s="43"/>
    </row>
    <row r="59" spans="2:17" x14ac:dyDescent="0.3">
      <c r="C59" s="40"/>
      <c r="H59" s="43"/>
      <c r="I59" s="43"/>
      <c r="J59" s="43"/>
      <c r="K59" s="43"/>
      <c r="L59" s="43"/>
      <c r="M59" s="43"/>
      <c r="N59" s="43"/>
      <c r="O59" s="43"/>
      <c r="P59" s="43"/>
      <c r="Q59" s="43"/>
    </row>
    <row r="60" spans="2:17" x14ac:dyDescent="0.3">
      <c r="H60" s="46"/>
      <c r="I60" s="46"/>
      <c r="J60" s="46"/>
      <c r="K60" s="46"/>
      <c r="L60" s="46"/>
      <c r="M60" s="43"/>
      <c r="N60" s="43"/>
      <c r="O60" s="43"/>
      <c r="P60" s="43"/>
      <c r="Q60" s="43"/>
    </row>
    <row r="61" spans="2:17" x14ac:dyDescent="0.3">
      <c r="H61" s="46"/>
      <c r="I61" s="46"/>
      <c r="J61" s="46"/>
      <c r="K61" s="46"/>
      <c r="L61" s="46"/>
      <c r="M61" s="43"/>
      <c r="N61" s="43"/>
      <c r="O61" s="43"/>
      <c r="P61" s="43"/>
      <c r="Q61" s="43"/>
    </row>
    <row r="62" spans="2:17" x14ac:dyDescent="0.3">
      <c r="C62" s="40"/>
      <c r="H62" s="46"/>
      <c r="I62" s="46"/>
      <c r="J62" s="46"/>
      <c r="K62" s="46"/>
      <c r="L62" s="46"/>
      <c r="M62" s="43"/>
      <c r="N62" s="43"/>
      <c r="O62" s="43"/>
      <c r="P62" s="43"/>
      <c r="Q62" s="43"/>
    </row>
    <row r="63" spans="2:17" x14ac:dyDescent="0.3">
      <c r="H63" s="46"/>
      <c r="I63" s="46"/>
      <c r="J63" s="46"/>
      <c r="K63" s="46"/>
      <c r="L63" s="46"/>
      <c r="M63" s="43"/>
      <c r="N63" s="43"/>
      <c r="O63" s="43"/>
      <c r="P63" s="43"/>
      <c r="Q63" s="43"/>
    </row>
    <row r="64" spans="2:17" x14ac:dyDescent="0.3">
      <c r="H64" s="46"/>
      <c r="I64" s="46"/>
      <c r="J64" s="46"/>
      <c r="K64" s="46"/>
      <c r="L64" s="46"/>
      <c r="M64" s="43"/>
      <c r="N64" s="43"/>
      <c r="O64" s="43"/>
      <c r="P64" s="43"/>
      <c r="Q64" s="43"/>
    </row>
    <row r="65" spans="1:17" x14ac:dyDescent="0.3">
      <c r="D65" s="39"/>
      <c r="E65" s="38"/>
      <c r="F65" s="38"/>
      <c r="G65" s="38"/>
      <c r="H65" s="44"/>
      <c r="I65" s="44"/>
      <c r="J65" s="44"/>
      <c r="K65" s="44"/>
      <c r="L65" s="44"/>
      <c r="M65" s="45"/>
      <c r="N65" s="45"/>
      <c r="O65" s="45"/>
      <c r="P65" s="45"/>
      <c r="Q65" s="45"/>
    </row>
    <row r="66" spans="1:17" x14ac:dyDescent="0.3">
      <c r="C66" s="40"/>
      <c r="H66" s="43"/>
      <c r="I66" s="43"/>
      <c r="J66" s="43"/>
      <c r="K66" s="43"/>
      <c r="L66" s="43"/>
      <c r="M66" s="43"/>
      <c r="N66" s="43"/>
      <c r="O66" s="43"/>
      <c r="P66" s="43"/>
      <c r="Q66" s="43"/>
    </row>
    <row r="67" spans="1:17" x14ac:dyDescent="0.3">
      <c r="H67" s="46"/>
      <c r="I67" s="46"/>
      <c r="J67" s="46"/>
      <c r="K67" s="46"/>
      <c r="L67" s="46"/>
      <c r="M67" s="43"/>
      <c r="N67" s="43"/>
      <c r="O67" s="43"/>
      <c r="P67" s="43"/>
      <c r="Q67" s="43"/>
    </row>
    <row r="68" spans="1:17" x14ac:dyDescent="0.3">
      <c r="H68" s="46"/>
      <c r="I68" s="46"/>
      <c r="J68" s="46"/>
      <c r="K68" s="46"/>
      <c r="L68" s="46"/>
      <c r="M68" s="43"/>
      <c r="N68" s="43"/>
      <c r="O68" s="43"/>
      <c r="P68" s="43"/>
      <c r="Q68" s="43"/>
    </row>
    <row r="69" spans="1:17" x14ac:dyDescent="0.3">
      <c r="D69" s="39"/>
      <c r="E69" s="38"/>
      <c r="F69" s="38"/>
      <c r="G69" s="38"/>
      <c r="H69" s="44"/>
      <c r="I69" s="44"/>
      <c r="J69" s="44"/>
      <c r="K69" s="44"/>
      <c r="L69" s="44"/>
      <c r="M69" s="45"/>
      <c r="N69" s="45"/>
      <c r="O69" s="45"/>
      <c r="P69" s="45"/>
      <c r="Q69" s="45"/>
    </row>
    <row r="70" spans="1:17" x14ac:dyDescent="0.3">
      <c r="H70" s="46"/>
      <c r="I70" s="46"/>
      <c r="J70" s="46"/>
      <c r="K70" s="46"/>
      <c r="L70" s="46"/>
      <c r="M70" s="43"/>
      <c r="N70" s="43"/>
      <c r="O70" s="43"/>
      <c r="P70" s="43"/>
      <c r="Q70" s="43"/>
    </row>
    <row r="71" spans="1:17" ht="16.2" thickBot="1" x14ac:dyDescent="0.35">
      <c r="D71" s="47"/>
      <c r="E71" s="48"/>
      <c r="F71" s="48"/>
      <c r="G71" s="48"/>
      <c r="H71" s="49"/>
      <c r="I71" s="49"/>
      <c r="J71" s="49"/>
      <c r="K71" s="49"/>
      <c r="L71" s="49"/>
      <c r="M71" s="50"/>
      <c r="N71" s="50"/>
      <c r="O71" s="50"/>
      <c r="P71" s="50"/>
      <c r="Q71" s="50"/>
    </row>
    <row r="72" spans="1:17" ht="16.2" thickTop="1" x14ac:dyDescent="0.3">
      <c r="H72" s="43"/>
      <c r="I72" s="43"/>
      <c r="J72" s="43"/>
      <c r="K72" s="43"/>
      <c r="L72" s="43"/>
      <c r="M72" s="43"/>
      <c r="N72" s="43"/>
      <c r="O72" s="43"/>
      <c r="P72" s="43"/>
      <c r="Q72" s="43"/>
    </row>
    <row r="73" spans="1:17" x14ac:dyDescent="0.3">
      <c r="D73" s="51"/>
      <c r="E73" s="51"/>
      <c r="F73" s="51"/>
      <c r="G73" s="51"/>
      <c r="H73" s="52"/>
      <c r="I73" s="52"/>
      <c r="J73" s="52"/>
      <c r="K73" s="52"/>
      <c r="L73" s="52"/>
      <c r="M73" s="52"/>
      <c r="N73" s="52"/>
      <c r="O73" s="52"/>
      <c r="P73" s="52"/>
      <c r="Q73" s="52"/>
    </row>
    <row r="74" spans="1:17" x14ac:dyDescent="0.3"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s="5" customFormat="1" ht="21" x14ac:dyDescent="0.4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x14ac:dyDescent="0.3">
      <c r="H76" s="43"/>
      <c r="I76" s="43"/>
      <c r="J76" s="43"/>
      <c r="K76" s="43"/>
      <c r="L76" s="43"/>
      <c r="M76" s="43"/>
      <c r="N76" s="43"/>
      <c r="O76" s="43"/>
      <c r="P76" s="43"/>
      <c r="Q76" s="43"/>
    </row>
    <row r="77" spans="1:17" x14ac:dyDescent="0.3">
      <c r="C77" s="40"/>
      <c r="H77" s="43"/>
      <c r="I77" s="43"/>
      <c r="J77" s="43"/>
      <c r="K77" s="43"/>
      <c r="L77" s="43"/>
      <c r="M77" s="43"/>
      <c r="N77" s="43"/>
      <c r="O77" s="43"/>
      <c r="P77" s="43"/>
      <c r="Q77" s="43"/>
    </row>
    <row r="78" spans="1:17" x14ac:dyDescent="0.3">
      <c r="H78" s="46"/>
      <c r="I78" s="46"/>
      <c r="J78" s="46"/>
      <c r="K78" s="46"/>
      <c r="L78" s="46"/>
      <c r="M78" s="43"/>
      <c r="N78" s="43"/>
      <c r="O78" s="43"/>
      <c r="P78" s="43"/>
      <c r="Q78" s="43"/>
    </row>
    <row r="79" spans="1:17" x14ac:dyDescent="0.3">
      <c r="H79" s="46"/>
      <c r="I79" s="46"/>
      <c r="J79" s="46"/>
      <c r="K79" s="46"/>
      <c r="L79" s="46"/>
      <c r="M79" s="43"/>
      <c r="N79" s="43"/>
      <c r="O79" s="43"/>
      <c r="P79" s="43"/>
      <c r="Q79" s="43"/>
    </row>
    <row r="80" spans="1:17" x14ac:dyDescent="0.3">
      <c r="H80" s="46"/>
      <c r="I80" s="46"/>
      <c r="J80" s="46"/>
      <c r="K80" s="46"/>
      <c r="L80" s="46"/>
      <c r="M80" s="43"/>
      <c r="N80" s="43"/>
      <c r="O80" s="43"/>
      <c r="P80" s="43"/>
      <c r="Q80" s="43"/>
    </row>
    <row r="81" spans="3:17" x14ac:dyDescent="0.3">
      <c r="H81" s="54"/>
      <c r="I81" s="54"/>
      <c r="J81" s="54"/>
      <c r="K81" s="54"/>
      <c r="L81" s="54"/>
      <c r="M81" s="43"/>
      <c r="N81" s="43"/>
      <c r="O81" s="43"/>
      <c r="P81" s="43"/>
      <c r="Q81" s="43"/>
    </row>
    <row r="82" spans="3:17" x14ac:dyDescent="0.3">
      <c r="D82" s="39"/>
      <c r="E82" s="38"/>
      <c r="F82" s="38"/>
      <c r="G82" s="38"/>
      <c r="H82" s="44"/>
      <c r="I82" s="44"/>
      <c r="J82" s="44"/>
      <c r="K82" s="44"/>
      <c r="L82" s="44"/>
      <c r="M82" s="45"/>
      <c r="N82" s="45"/>
      <c r="O82" s="45"/>
      <c r="P82" s="45"/>
      <c r="Q82" s="45"/>
    </row>
    <row r="83" spans="3:17" x14ac:dyDescent="0.3">
      <c r="H83" s="43"/>
      <c r="I83" s="43"/>
      <c r="J83" s="43"/>
      <c r="K83" s="43"/>
      <c r="L83" s="43"/>
      <c r="M83" s="43"/>
      <c r="N83" s="43"/>
      <c r="O83" s="43"/>
      <c r="P83" s="43"/>
      <c r="Q83" s="43"/>
    </row>
    <row r="84" spans="3:17" x14ac:dyDescent="0.3">
      <c r="C84" s="40"/>
      <c r="H84" s="43"/>
      <c r="I84" s="43"/>
      <c r="J84" s="43"/>
      <c r="K84" s="43"/>
      <c r="L84" s="43"/>
      <c r="M84" s="43"/>
      <c r="N84" s="43"/>
      <c r="O84" s="43"/>
      <c r="P84" s="43"/>
      <c r="Q84" s="43"/>
    </row>
    <row r="85" spans="3:17" x14ac:dyDescent="0.3">
      <c r="H85" s="46"/>
      <c r="I85" s="46"/>
      <c r="J85" s="46"/>
      <c r="K85" s="46"/>
      <c r="L85" s="46"/>
      <c r="M85" s="43"/>
      <c r="N85" s="43"/>
      <c r="O85" s="43"/>
      <c r="P85" s="43"/>
      <c r="Q85" s="43"/>
    </row>
    <row r="86" spans="3:17" x14ac:dyDescent="0.3">
      <c r="H86" s="46"/>
      <c r="I86" s="46"/>
      <c r="J86" s="46"/>
      <c r="K86" s="46"/>
      <c r="L86" s="46"/>
      <c r="M86" s="43"/>
      <c r="N86" s="43"/>
      <c r="O86" s="43"/>
      <c r="P86" s="43"/>
      <c r="Q86" s="43"/>
    </row>
    <row r="87" spans="3:17" x14ac:dyDescent="0.3">
      <c r="H87" s="46"/>
      <c r="I87" s="46"/>
      <c r="J87" s="46"/>
      <c r="K87" s="46"/>
      <c r="L87" s="46"/>
      <c r="M87" s="43"/>
      <c r="N87" s="43"/>
      <c r="O87" s="43"/>
      <c r="P87" s="43"/>
      <c r="Q87" s="43"/>
    </row>
    <row r="88" spans="3:17" x14ac:dyDescent="0.3">
      <c r="H88" s="46"/>
      <c r="I88" s="46"/>
      <c r="J88" s="46"/>
      <c r="K88" s="46"/>
      <c r="L88" s="46"/>
      <c r="M88" s="43"/>
      <c r="N88" s="43"/>
      <c r="O88" s="43"/>
      <c r="P88" s="43"/>
      <c r="Q88" s="43"/>
    </row>
    <row r="89" spans="3:17" x14ac:dyDescent="0.3">
      <c r="H89" s="46"/>
      <c r="I89" s="46"/>
      <c r="J89" s="46"/>
      <c r="K89" s="46"/>
      <c r="L89" s="46"/>
      <c r="M89" s="43"/>
      <c r="N89" s="43"/>
      <c r="O89" s="43"/>
      <c r="P89" s="43"/>
      <c r="Q89" s="43"/>
    </row>
    <row r="90" spans="3:17" x14ac:dyDescent="0.3">
      <c r="H90" s="46"/>
      <c r="I90" s="46"/>
      <c r="J90" s="46"/>
      <c r="K90" s="46"/>
      <c r="L90" s="46"/>
      <c r="M90" s="43"/>
      <c r="N90" s="43"/>
      <c r="O90" s="43"/>
      <c r="P90" s="43"/>
      <c r="Q90" s="43"/>
    </row>
    <row r="91" spans="3:17" x14ac:dyDescent="0.3">
      <c r="D91" s="39"/>
      <c r="E91" s="38"/>
      <c r="F91" s="38"/>
      <c r="G91" s="38"/>
      <c r="H91" s="44"/>
      <c r="I91" s="44"/>
      <c r="J91" s="44"/>
      <c r="K91" s="44"/>
      <c r="L91" s="44"/>
      <c r="M91" s="45"/>
      <c r="N91" s="45"/>
      <c r="O91" s="45"/>
      <c r="P91" s="45"/>
      <c r="Q91" s="45"/>
    </row>
    <row r="92" spans="3:17" x14ac:dyDescent="0.3">
      <c r="H92" s="43"/>
      <c r="I92" s="43"/>
      <c r="J92" s="43"/>
      <c r="K92" s="43"/>
      <c r="L92" s="43"/>
      <c r="M92" s="43"/>
      <c r="N92" s="43"/>
      <c r="O92" s="43"/>
      <c r="P92" s="43"/>
      <c r="Q92" s="43"/>
    </row>
    <row r="93" spans="3:17" x14ac:dyDescent="0.3">
      <c r="C93" s="40"/>
      <c r="H93" s="43"/>
      <c r="I93" s="43"/>
      <c r="J93" s="43"/>
      <c r="K93" s="43"/>
      <c r="L93" s="43"/>
      <c r="M93" s="43"/>
      <c r="N93" s="43"/>
      <c r="O93" s="43"/>
      <c r="P93" s="43"/>
      <c r="Q93" s="43"/>
    </row>
    <row r="94" spans="3:17" x14ac:dyDescent="0.3">
      <c r="H94" s="46"/>
      <c r="I94" s="46"/>
      <c r="J94" s="46"/>
      <c r="K94" s="46"/>
      <c r="L94" s="46"/>
      <c r="M94" s="43"/>
      <c r="N94" s="43"/>
      <c r="O94" s="43"/>
      <c r="P94" s="43"/>
      <c r="Q94" s="43"/>
    </row>
    <row r="95" spans="3:17" x14ac:dyDescent="0.3">
      <c r="H95" s="46"/>
      <c r="I95" s="46"/>
      <c r="J95" s="46"/>
      <c r="K95" s="46"/>
      <c r="L95" s="46"/>
      <c r="M95" s="43"/>
      <c r="N95" s="43"/>
      <c r="O95" s="43"/>
      <c r="P95" s="43"/>
      <c r="Q95" s="43"/>
    </row>
    <row r="96" spans="3:17" x14ac:dyDescent="0.3">
      <c r="H96" s="46"/>
      <c r="I96" s="46"/>
      <c r="J96" s="46"/>
      <c r="K96" s="46"/>
      <c r="L96" s="46"/>
      <c r="M96" s="43"/>
      <c r="N96" s="43"/>
      <c r="O96" s="43"/>
      <c r="P96" s="43"/>
      <c r="Q96" s="43"/>
    </row>
    <row r="97" spans="1:17" x14ac:dyDescent="0.3">
      <c r="H97" s="46"/>
      <c r="I97" s="46"/>
      <c r="J97" s="46"/>
      <c r="K97" s="46"/>
      <c r="L97" s="46"/>
      <c r="M97" s="43"/>
      <c r="N97" s="43"/>
      <c r="O97" s="43"/>
      <c r="P97" s="43"/>
      <c r="Q97" s="43"/>
    </row>
    <row r="98" spans="1:17" x14ac:dyDescent="0.3">
      <c r="D98" s="39"/>
      <c r="E98" s="38"/>
      <c r="F98" s="38"/>
      <c r="G98" s="38"/>
      <c r="H98" s="44"/>
      <c r="I98" s="44"/>
      <c r="J98" s="44"/>
      <c r="K98" s="44"/>
      <c r="L98" s="44"/>
      <c r="M98" s="45"/>
      <c r="N98" s="45"/>
      <c r="O98" s="45"/>
      <c r="P98" s="45"/>
      <c r="Q98" s="45"/>
    </row>
    <row r="99" spans="1:17" x14ac:dyDescent="0.3">
      <c r="H99" s="43"/>
      <c r="I99" s="43"/>
      <c r="J99" s="43"/>
      <c r="K99" s="43"/>
      <c r="L99" s="43"/>
      <c r="M99" s="43"/>
      <c r="N99" s="43"/>
      <c r="O99" s="43"/>
      <c r="P99" s="43"/>
      <c r="Q99" s="43"/>
    </row>
    <row r="100" spans="1:17" x14ac:dyDescent="0.3">
      <c r="H100" s="46"/>
      <c r="I100" s="46"/>
      <c r="J100" s="46"/>
      <c r="K100" s="46"/>
      <c r="L100" s="46"/>
      <c r="M100" s="43"/>
      <c r="N100" s="43"/>
      <c r="O100" s="43"/>
      <c r="P100" s="43"/>
      <c r="Q100" s="43"/>
    </row>
    <row r="101" spans="1:17" x14ac:dyDescent="0.3">
      <c r="H101" s="46"/>
      <c r="I101" s="46"/>
      <c r="J101" s="46"/>
      <c r="K101" s="46"/>
      <c r="L101" s="46"/>
      <c r="M101" s="43"/>
      <c r="N101" s="43"/>
      <c r="O101" s="43"/>
      <c r="P101" s="43"/>
      <c r="Q101" s="43"/>
    </row>
    <row r="102" spans="1:17" x14ac:dyDescent="0.3">
      <c r="D102" s="39"/>
      <c r="E102" s="38"/>
      <c r="F102" s="38"/>
      <c r="G102" s="38"/>
      <c r="H102" s="44"/>
      <c r="I102" s="44"/>
      <c r="J102" s="44"/>
      <c r="K102" s="44"/>
      <c r="L102" s="44"/>
      <c r="M102" s="45"/>
      <c r="N102" s="45"/>
      <c r="O102" s="45"/>
      <c r="P102" s="45"/>
      <c r="Q102" s="45"/>
    </row>
    <row r="103" spans="1:17" x14ac:dyDescent="0.3">
      <c r="H103" s="43"/>
      <c r="I103" s="43"/>
      <c r="J103" s="43"/>
      <c r="K103" s="43"/>
      <c r="L103" s="43"/>
      <c r="M103" s="43"/>
      <c r="N103" s="43"/>
      <c r="O103" s="43"/>
      <c r="P103" s="43"/>
      <c r="Q103" s="43"/>
    </row>
    <row r="104" spans="1:17" x14ac:dyDescent="0.3">
      <c r="H104" s="43"/>
      <c r="I104" s="43"/>
      <c r="J104" s="43"/>
      <c r="K104" s="43"/>
      <c r="L104" s="43"/>
      <c r="M104" s="43"/>
      <c r="N104" s="43"/>
      <c r="O104" s="43"/>
      <c r="P104" s="43"/>
      <c r="Q104" s="43"/>
    </row>
    <row r="105" spans="1:17" s="5" customFormat="1" ht="21" x14ac:dyDescent="0.4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x14ac:dyDescent="0.3">
      <c r="H106" s="43"/>
      <c r="I106" s="43"/>
      <c r="J106" s="43"/>
      <c r="K106" s="43"/>
      <c r="L106" s="43"/>
      <c r="M106" s="43"/>
      <c r="N106" s="43"/>
      <c r="O106" s="43"/>
      <c r="P106" s="43"/>
      <c r="Q106" s="43"/>
    </row>
    <row r="107" spans="1:17" x14ac:dyDescent="0.3">
      <c r="C107" s="40"/>
      <c r="H107" s="43"/>
      <c r="I107" s="43"/>
      <c r="J107" s="43"/>
      <c r="K107" s="43"/>
      <c r="L107" s="43"/>
      <c r="M107" s="43"/>
      <c r="N107" s="43"/>
      <c r="O107" s="43"/>
      <c r="P107" s="43"/>
      <c r="Q107" s="43"/>
    </row>
    <row r="108" spans="1:17" x14ac:dyDescent="0.3">
      <c r="H108" s="46"/>
      <c r="I108" s="46"/>
      <c r="J108" s="46"/>
      <c r="K108" s="46"/>
      <c r="L108" s="46"/>
      <c r="M108" s="43"/>
      <c r="N108" s="43"/>
      <c r="O108" s="43"/>
      <c r="P108" s="43"/>
      <c r="Q108" s="43"/>
    </row>
    <row r="109" spans="1:17" x14ac:dyDescent="0.3">
      <c r="H109" s="46"/>
      <c r="I109" s="46"/>
      <c r="J109" s="46"/>
      <c r="K109" s="46"/>
      <c r="L109" s="46"/>
      <c r="M109" s="43"/>
      <c r="N109" s="43"/>
      <c r="O109" s="43"/>
      <c r="P109" s="43"/>
      <c r="Q109" s="43"/>
    </row>
    <row r="110" spans="1:17" x14ac:dyDescent="0.3">
      <c r="H110" s="46"/>
      <c r="I110" s="46"/>
      <c r="J110" s="46"/>
      <c r="K110" s="46"/>
      <c r="L110" s="46"/>
      <c r="M110" s="43"/>
      <c r="N110" s="43"/>
      <c r="O110" s="43"/>
      <c r="P110" s="43"/>
      <c r="Q110" s="43"/>
    </row>
    <row r="111" spans="1:17" x14ac:dyDescent="0.3">
      <c r="H111" s="46"/>
      <c r="I111" s="46"/>
      <c r="J111" s="46"/>
      <c r="K111" s="46"/>
      <c r="L111" s="46"/>
      <c r="M111" s="43"/>
      <c r="N111" s="43"/>
      <c r="O111" s="43"/>
      <c r="P111" s="43"/>
      <c r="Q111" s="43"/>
    </row>
    <row r="112" spans="1:17" x14ac:dyDescent="0.3">
      <c r="D112" s="39"/>
      <c r="E112" s="38"/>
      <c r="F112" s="38"/>
      <c r="G112" s="38"/>
      <c r="H112" s="44"/>
      <c r="I112" s="44"/>
      <c r="J112" s="44"/>
      <c r="K112" s="44"/>
      <c r="L112" s="44"/>
      <c r="M112" s="45"/>
      <c r="N112" s="45"/>
      <c r="O112" s="45"/>
      <c r="P112" s="45"/>
      <c r="Q112" s="45"/>
    </row>
    <row r="113" spans="3:17" x14ac:dyDescent="0.3">
      <c r="H113" s="43"/>
      <c r="I113" s="43"/>
      <c r="J113" s="43"/>
      <c r="K113" s="43"/>
      <c r="L113" s="43"/>
      <c r="M113" s="43"/>
      <c r="N113" s="43"/>
      <c r="O113" s="43"/>
      <c r="P113" s="43"/>
      <c r="Q113" s="43"/>
    </row>
    <row r="114" spans="3:17" x14ac:dyDescent="0.3">
      <c r="C114" s="40"/>
      <c r="H114" s="43"/>
      <c r="I114" s="43"/>
      <c r="J114" s="43"/>
      <c r="K114" s="43"/>
      <c r="L114" s="43"/>
      <c r="M114" s="43"/>
      <c r="N114" s="43"/>
      <c r="O114" s="43"/>
      <c r="P114" s="43"/>
      <c r="Q114" s="43"/>
    </row>
    <row r="115" spans="3:17" x14ac:dyDescent="0.3">
      <c r="H115" s="43"/>
      <c r="I115" s="43"/>
      <c r="J115" s="43"/>
      <c r="K115" s="43"/>
      <c r="L115" s="43"/>
      <c r="M115" s="43"/>
      <c r="N115" s="43"/>
      <c r="O115" s="43"/>
      <c r="P115" s="43"/>
      <c r="Q115" s="43"/>
    </row>
    <row r="116" spans="3:17" x14ac:dyDescent="0.3">
      <c r="H116" s="43"/>
      <c r="I116" s="43"/>
      <c r="J116" s="43"/>
      <c r="K116" s="43"/>
      <c r="L116" s="43"/>
      <c r="M116" s="43"/>
      <c r="N116" s="43"/>
      <c r="O116" s="43"/>
      <c r="P116" s="43"/>
      <c r="Q116" s="43"/>
    </row>
    <row r="117" spans="3:17" x14ac:dyDescent="0.3">
      <c r="H117" s="43"/>
      <c r="I117" s="43"/>
      <c r="J117" s="43"/>
      <c r="K117" s="43"/>
      <c r="L117" s="43"/>
      <c r="M117" s="43"/>
      <c r="N117" s="43"/>
      <c r="O117" s="43"/>
      <c r="P117" s="43"/>
      <c r="Q117" s="43"/>
    </row>
    <row r="118" spans="3:17" x14ac:dyDescent="0.3">
      <c r="D118" s="39"/>
      <c r="E118" s="38"/>
      <c r="F118" s="38"/>
      <c r="G118" s="38"/>
      <c r="H118" s="44"/>
      <c r="I118" s="44"/>
      <c r="J118" s="44"/>
      <c r="K118" s="44"/>
      <c r="L118" s="44"/>
      <c r="M118" s="45"/>
      <c r="N118" s="45"/>
      <c r="O118" s="45"/>
      <c r="P118" s="45"/>
      <c r="Q118" s="45"/>
    </row>
    <row r="119" spans="3:17" x14ac:dyDescent="0.3">
      <c r="H119" s="43"/>
      <c r="I119" s="43"/>
      <c r="J119" s="43"/>
      <c r="K119" s="43"/>
      <c r="L119" s="43"/>
      <c r="M119" s="43"/>
      <c r="N119" s="43"/>
      <c r="O119" s="43"/>
      <c r="P119" s="43"/>
      <c r="Q119" s="43"/>
    </row>
    <row r="120" spans="3:17" x14ac:dyDescent="0.3">
      <c r="H120" s="43"/>
      <c r="I120" s="43"/>
      <c r="J120" s="43"/>
      <c r="K120" s="43"/>
      <c r="L120" s="43"/>
      <c r="M120" s="43"/>
      <c r="N120" s="43"/>
      <c r="O120" s="43"/>
      <c r="P120" s="43"/>
      <c r="Q120" s="43"/>
    </row>
    <row r="121" spans="3:17" x14ac:dyDescent="0.3">
      <c r="H121" s="43"/>
      <c r="I121" s="43"/>
      <c r="J121" s="43"/>
      <c r="K121" s="43"/>
      <c r="L121" s="43"/>
      <c r="M121" s="43"/>
      <c r="N121" s="43"/>
      <c r="O121" s="43"/>
      <c r="P121" s="43"/>
      <c r="Q121" s="43"/>
    </row>
    <row r="122" spans="3:17" x14ac:dyDescent="0.3">
      <c r="H122" s="43"/>
      <c r="I122" s="43"/>
      <c r="J122" s="43"/>
      <c r="K122" s="43"/>
      <c r="L122" s="43"/>
      <c r="M122" s="43"/>
      <c r="N122" s="43"/>
      <c r="O122" s="43"/>
      <c r="P122" s="43"/>
      <c r="Q122" s="43"/>
    </row>
    <row r="123" spans="3:17" x14ac:dyDescent="0.3">
      <c r="D123" s="39"/>
      <c r="E123" s="38"/>
      <c r="F123" s="38"/>
      <c r="G123" s="38"/>
      <c r="H123" s="44"/>
      <c r="I123" s="44"/>
      <c r="J123" s="44"/>
      <c r="K123" s="44"/>
      <c r="L123" s="44"/>
      <c r="M123" s="45"/>
      <c r="N123" s="45"/>
      <c r="O123" s="45"/>
      <c r="P123" s="45"/>
      <c r="Q123" s="45"/>
    </row>
    <row r="124" spans="3:17" x14ac:dyDescent="0.3">
      <c r="H124" s="43"/>
      <c r="I124" s="43"/>
      <c r="J124" s="43"/>
      <c r="K124" s="43"/>
      <c r="L124" s="43"/>
      <c r="M124" s="43"/>
      <c r="N124" s="43"/>
      <c r="O124" s="43"/>
      <c r="P124" s="43"/>
      <c r="Q124" s="43"/>
    </row>
    <row r="125" spans="3:17" x14ac:dyDescent="0.3">
      <c r="H125" s="43"/>
      <c r="I125" s="43"/>
      <c r="J125" s="43"/>
      <c r="K125" s="43"/>
      <c r="L125" s="43"/>
      <c r="M125" s="43"/>
      <c r="N125" s="43"/>
      <c r="O125" s="43"/>
      <c r="P125" s="43"/>
      <c r="Q125" s="43"/>
    </row>
    <row r="126" spans="3:17" x14ac:dyDescent="0.3">
      <c r="H126" s="43"/>
      <c r="I126" s="43"/>
      <c r="J126" s="43"/>
      <c r="K126" s="43"/>
      <c r="L126" s="43"/>
      <c r="M126" s="43"/>
      <c r="N126" s="43"/>
      <c r="O126" s="43"/>
      <c r="P126" s="43"/>
      <c r="Q126" s="43"/>
    </row>
    <row r="127" spans="3:17" x14ac:dyDescent="0.3">
      <c r="H127" s="43"/>
      <c r="I127" s="43"/>
      <c r="J127" s="43"/>
      <c r="K127" s="43"/>
      <c r="L127" s="43"/>
      <c r="M127" s="43"/>
      <c r="N127" s="43"/>
      <c r="O127" s="43"/>
      <c r="P127" s="43"/>
      <c r="Q127" s="43"/>
    </row>
    <row r="128" spans="3:17" x14ac:dyDescent="0.3">
      <c r="H128" s="43"/>
      <c r="I128" s="43"/>
      <c r="J128" s="43"/>
      <c r="K128" s="43"/>
      <c r="L128" s="43"/>
      <c r="M128" s="43"/>
      <c r="N128" s="43"/>
      <c r="O128" s="43"/>
      <c r="P128" s="43"/>
      <c r="Q128" s="43"/>
    </row>
    <row r="129" spans="8:17" x14ac:dyDescent="0.3">
      <c r="H129" s="43"/>
      <c r="I129" s="43"/>
      <c r="J129" s="43"/>
      <c r="K129" s="43"/>
      <c r="L129" s="43"/>
      <c r="M129" s="43"/>
      <c r="N129" s="43"/>
      <c r="O129" s="43"/>
      <c r="P129" s="43"/>
      <c r="Q129" s="43"/>
    </row>
    <row r="130" spans="8:17" x14ac:dyDescent="0.3">
      <c r="H130" s="43"/>
      <c r="I130" s="43"/>
      <c r="J130" s="43"/>
      <c r="K130" s="43"/>
      <c r="L130" s="43"/>
      <c r="M130" s="43"/>
      <c r="N130" s="43"/>
      <c r="O130" s="43"/>
      <c r="P130" s="43"/>
      <c r="Q130" s="43"/>
    </row>
    <row r="131" spans="8:17" x14ac:dyDescent="0.3">
      <c r="H131" s="43"/>
      <c r="I131" s="43"/>
      <c r="J131" s="43"/>
      <c r="K131" s="43"/>
      <c r="L131" s="43"/>
      <c r="M131" s="43"/>
      <c r="N131" s="43"/>
      <c r="O131" s="43"/>
      <c r="P131" s="43"/>
      <c r="Q131" s="43"/>
    </row>
    <row r="132" spans="8:17" x14ac:dyDescent="0.3">
      <c r="H132" s="43"/>
      <c r="I132" s="43"/>
      <c r="J132" s="43"/>
      <c r="K132" s="43"/>
      <c r="L132" s="43"/>
      <c r="M132" s="43"/>
      <c r="N132" s="43"/>
      <c r="O132" s="43"/>
      <c r="P132" s="43"/>
      <c r="Q132" s="43"/>
    </row>
    <row r="133" spans="8:17" x14ac:dyDescent="0.3">
      <c r="H133" s="43"/>
      <c r="I133" s="43"/>
      <c r="J133" s="43"/>
      <c r="K133" s="43"/>
      <c r="L133" s="43"/>
      <c r="M133" s="43"/>
      <c r="N133" s="43"/>
      <c r="O133" s="43"/>
      <c r="P133" s="43"/>
      <c r="Q133" s="43"/>
    </row>
    <row r="134" spans="8:17" x14ac:dyDescent="0.3">
      <c r="H134" s="43"/>
      <c r="I134" s="43"/>
      <c r="J134" s="43"/>
      <c r="K134" s="43"/>
      <c r="L134" s="43"/>
      <c r="M134" s="43"/>
      <c r="N134" s="43"/>
      <c r="O134" s="43"/>
      <c r="P134" s="43"/>
      <c r="Q134" s="43"/>
    </row>
    <row r="135" spans="8:17" x14ac:dyDescent="0.3">
      <c r="H135" s="43"/>
      <c r="I135" s="43"/>
      <c r="J135" s="43"/>
      <c r="K135" s="43"/>
      <c r="L135" s="43"/>
      <c r="M135" s="43"/>
      <c r="N135" s="43"/>
      <c r="O135" s="43"/>
      <c r="P135" s="43"/>
      <c r="Q135" s="43"/>
    </row>
    <row r="136" spans="8:17" x14ac:dyDescent="0.3">
      <c r="H136" s="43"/>
      <c r="I136" s="43"/>
      <c r="J136" s="43"/>
      <c r="K136" s="43"/>
      <c r="L136" s="43"/>
      <c r="M136" s="43"/>
      <c r="N136" s="43"/>
      <c r="O136" s="43"/>
      <c r="P136" s="43"/>
      <c r="Q136" s="43"/>
    </row>
    <row r="137" spans="8:17" x14ac:dyDescent="0.3">
      <c r="H137" s="43"/>
      <c r="I137" s="43"/>
      <c r="J137" s="43"/>
      <c r="K137" s="43"/>
      <c r="L137" s="43"/>
      <c r="M137" s="43"/>
      <c r="N137" s="43"/>
      <c r="O137" s="43"/>
      <c r="P137" s="43"/>
      <c r="Q137" s="43"/>
    </row>
    <row r="138" spans="8:17" x14ac:dyDescent="0.3">
      <c r="H138" s="43"/>
      <c r="I138" s="43"/>
      <c r="J138" s="43"/>
      <c r="K138" s="43"/>
      <c r="L138" s="43"/>
      <c r="M138" s="43"/>
      <c r="N138" s="43"/>
      <c r="O138" s="43"/>
      <c r="P138" s="43"/>
      <c r="Q138" s="43"/>
    </row>
    <row r="139" spans="8:17" x14ac:dyDescent="0.3">
      <c r="H139" s="43"/>
      <c r="I139" s="43"/>
      <c r="J139" s="43"/>
      <c r="K139" s="43"/>
      <c r="L139" s="43"/>
      <c r="M139" s="43"/>
      <c r="N139" s="43"/>
      <c r="O139" s="43"/>
      <c r="P139" s="43"/>
      <c r="Q139" s="43"/>
    </row>
    <row r="140" spans="8:17" x14ac:dyDescent="0.3">
      <c r="H140" s="43"/>
      <c r="I140" s="43"/>
      <c r="J140" s="43"/>
      <c r="K140" s="43"/>
      <c r="L140" s="43"/>
      <c r="M140" s="43"/>
      <c r="N140" s="43"/>
      <c r="O140" s="43"/>
      <c r="P140" s="43"/>
      <c r="Q140" s="43"/>
    </row>
    <row r="141" spans="8:17" x14ac:dyDescent="0.3">
      <c r="H141" s="43"/>
      <c r="I141" s="43"/>
      <c r="J141" s="43"/>
      <c r="K141" s="43"/>
      <c r="L141" s="43"/>
      <c r="M141" s="43"/>
      <c r="N141" s="43"/>
      <c r="O141" s="43"/>
      <c r="P141" s="43"/>
      <c r="Q141" s="43"/>
    </row>
    <row r="142" spans="8:17" x14ac:dyDescent="0.3">
      <c r="H142" s="43"/>
      <c r="I142" s="43"/>
      <c r="J142" s="43"/>
      <c r="K142" s="43"/>
      <c r="L142" s="43"/>
      <c r="M142" s="43"/>
      <c r="N142" s="43"/>
      <c r="O142" s="43"/>
      <c r="P142" s="43"/>
      <c r="Q142" s="43"/>
    </row>
    <row r="143" spans="8:17" x14ac:dyDescent="0.3">
      <c r="H143" s="43"/>
      <c r="I143" s="43"/>
      <c r="J143" s="43"/>
      <c r="K143" s="43"/>
      <c r="L143" s="43"/>
      <c r="M143" s="43"/>
      <c r="N143" s="43"/>
      <c r="O143" s="43"/>
      <c r="P143" s="43"/>
      <c r="Q143" s="43"/>
    </row>
  </sheetData>
  <mergeCells count="2">
    <mergeCell ref="H1:L1"/>
    <mergeCell ref="M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DBBD-2337-4F3D-93F0-565D20117DAC}">
  <dimension ref="A1:J12"/>
  <sheetViews>
    <sheetView showGridLines="0" tabSelected="1" workbookViewId="0">
      <selection activeCell="M14" sqref="M14"/>
    </sheetView>
  </sheetViews>
  <sheetFormatPr defaultColWidth="8.88671875" defaultRowHeight="13.8" x14ac:dyDescent="0.3"/>
  <cols>
    <col min="1" max="3" width="1.77734375" style="6" customWidth="1"/>
    <col min="4" max="6" width="14.21875" style="6" customWidth="1"/>
    <col min="7" max="7" width="2.88671875" style="6" customWidth="1"/>
    <col min="8" max="10" width="14.21875" style="6" customWidth="1"/>
    <col min="11" max="16384" width="8.88671875" style="6"/>
  </cols>
  <sheetData>
    <row r="1" spans="1:10" ht="33.6" x14ac:dyDescent="0.65">
      <c r="A1" s="1" t="str">
        <f>Historical!A1</f>
        <v>Alkem Laboratories</v>
      </c>
      <c r="B1" s="1"/>
      <c r="C1" s="1"/>
      <c r="D1" s="1"/>
      <c r="E1" s="1"/>
      <c r="F1" s="1"/>
      <c r="G1" s="1"/>
      <c r="H1" s="1"/>
      <c r="I1" s="1"/>
      <c r="J1" s="1"/>
    </row>
    <row r="2" spans="1:10" ht="15.6" x14ac:dyDescent="0.3">
      <c r="A2" s="31" t="s">
        <v>408</v>
      </c>
      <c r="B2" s="4"/>
      <c r="C2" s="4"/>
      <c r="D2" s="4"/>
      <c r="E2" s="4"/>
      <c r="F2" s="4"/>
      <c r="G2" s="4"/>
      <c r="H2" s="4"/>
      <c r="I2" s="4"/>
      <c r="J2" s="4"/>
    </row>
    <row r="4" spans="1:10" ht="15.6" x14ac:dyDescent="0.3">
      <c r="A4" s="31" t="s">
        <v>409</v>
      </c>
      <c r="B4" s="108"/>
      <c r="C4" s="108"/>
      <c r="D4" s="108"/>
      <c r="E4" s="108"/>
      <c r="F4" s="108"/>
      <c r="G4" s="108"/>
      <c r="H4" s="108"/>
      <c r="I4" s="108"/>
      <c r="J4" s="108"/>
    </row>
    <row r="5" spans="1:10" ht="15.6" x14ac:dyDescent="0.3">
      <c r="H5" s="154"/>
      <c r="I5" s="154"/>
      <c r="J5" s="154"/>
    </row>
    <row r="6" spans="1:10" ht="15.6" x14ac:dyDescent="0.3">
      <c r="H6" s="154" t="s">
        <v>315</v>
      </c>
      <c r="I6" s="154" t="s">
        <v>412</v>
      </c>
      <c r="J6" s="154" t="s">
        <v>413</v>
      </c>
    </row>
    <row r="7" spans="1:10" ht="15.6" x14ac:dyDescent="0.3">
      <c r="D7" s="40" t="s">
        <v>410</v>
      </c>
      <c r="H7" s="43">
        <f>MAX('Relative Valuation'!L25:L27)</f>
        <v>7783.6882861777794</v>
      </c>
      <c r="I7" s="43">
        <v>5303.5</v>
      </c>
      <c r="J7" s="43">
        <f>MAX(Beta!D6:D65)</f>
        <v>6170.35</v>
      </c>
    </row>
    <row r="8" spans="1:10" ht="15.6" x14ac:dyDescent="0.3">
      <c r="D8" s="40" t="s">
        <v>410</v>
      </c>
      <c r="H8" s="43">
        <f>H7</f>
        <v>7783.6882861777794</v>
      </c>
      <c r="I8" s="43">
        <f>I7</f>
        <v>5303.5</v>
      </c>
      <c r="J8" s="43">
        <f>J7</f>
        <v>6170.35</v>
      </c>
    </row>
    <row r="9" spans="1:10" ht="15.6" x14ac:dyDescent="0.3">
      <c r="D9" s="40" t="s">
        <v>411</v>
      </c>
      <c r="H9" s="43">
        <f>MIN('Relative Valuation'!L25:L27)</f>
        <v>4006.6464028599926</v>
      </c>
      <c r="I9" s="43">
        <v>4572.6077040444179</v>
      </c>
      <c r="J9" s="43">
        <f>MIN(Beta!D6:D65)</f>
        <v>2614.39</v>
      </c>
    </row>
    <row r="10" spans="1:10" ht="15.6" x14ac:dyDescent="0.3">
      <c r="D10" s="40" t="s">
        <v>411</v>
      </c>
      <c r="H10" s="43">
        <f>H9</f>
        <v>4006.6464028599926</v>
      </c>
      <c r="I10" s="43">
        <f>I9</f>
        <v>4572.6077040444179</v>
      </c>
      <c r="J10" s="43">
        <f>J9</f>
        <v>2614.39</v>
      </c>
    </row>
    <row r="12" spans="1:10" ht="15.6" x14ac:dyDescent="0.3">
      <c r="A12" s="31" t="s">
        <v>414</v>
      </c>
      <c r="B12" s="31"/>
      <c r="C12" s="31"/>
      <c r="D12" s="31"/>
      <c r="E12" s="31"/>
      <c r="F12" s="31"/>
      <c r="G12" s="31"/>
      <c r="H12" s="31"/>
      <c r="I12" s="31"/>
      <c r="J12" s="31"/>
    </row>
  </sheetData>
  <pageMargins left="0.7" right="0.7" top="0.75" bottom="0.75" header="0.3" footer="0.3"/>
  <ignoredErrors>
    <ignoredError sqref="H9:J9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BDC6-9C59-497A-82C3-AC8B1772AE2A}">
  <dimension ref="A1:U170"/>
  <sheetViews>
    <sheetView showGridLines="0" topLeftCell="A94" zoomScaleNormal="100" workbookViewId="0">
      <selection activeCell="F108" sqref="F108"/>
    </sheetView>
  </sheetViews>
  <sheetFormatPr defaultColWidth="11.6640625" defaultRowHeight="13.8" x14ac:dyDescent="0.3"/>
  <cols>
    <col min="1" max="3" width="1.21875" style="6" customWidth="1"/>
    <col min="4" max="4" width="40.6640625" style="6" customWidth="1"/>
    <col min="5" max="6" width="12.6640625" style="6" customWidth="1"/>
    <col min="7" max="7" width="2.6640625" style="6" customWidth="1"/>
    <col min="8" max="13" width="11.6640625" style="6"/>
    <col min="14" max="14" width="13.88671875" style="6" bestFit="1" customWidth="1"/>
    <col min="15" max="15" width="40.88671875" style="6" bestFit="1" customWidth="1"/>
    <col min="16" max="17" width="11.6640625" style="6"/>
    <col min="18" max="18" width="12.6640625" style="6" bestFit="1" customWidth="1"/>
    <col min="19" max="16384" width="11.6640625" style="6"/>
  </cols>
  <sheetData>
    <row r="1" spans="1:21" s="2" customFormat="1" ht="33.6" x14ac:dyDescent="0.6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1" s="5" customFormat="1" ht="21" x14ac:dyDescent="0.4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21" s="7" customFormat="1" ht="18" x14ac:dyDescent="0.35">
      <c r="A4" s="11" t="s">
        <v>31</v>
      </c>
      <c r="B4" s="12"/>
      <c r="C4" s="12"/>
      <c r="D4" s="12"/>
      <c r="E4" s="12"/>
      <c r="F4" s="12"/>
      <c r="G4" s="12"/>
      <c r="H4" s="11">
        <v>2019</v>
      </c>
      <c r="I4" s="11">
        <v>2020</v>
      </c>
      <c r="J4" s="11">
        <v>2021</v>
      </c>
      <c r="K4" s="11">
        <v>2022</v>
      </c>
      <c r="L4" s="11">
        <v>2023</v>
      </c>
      <c r="M4" s="11">
        <v>2024</v>
      </c>
      <c r="N4" s="11">
        <v>2025</v>
      </c>
      <c r="O4" s="13"/>
      <c r="P4" s="13"/>
      <c r="Q4" s="13"/>
    </row>
    <row r="5" spans="1:21" ht="14.4" x14ac:dyDescent="0.3">
      <c r="A5" s="13"/>
      <c r="B5" s="13"/>
      <c r="C5" s="13"/>
      <c r="D5" s="14" t="s">
        <v>5</v>
      </c>
      <c r="E5" s="13"/>
      <c r="F5" s="13"/>
      <c r="G5" s="13"/>
      <c r="H5" s="14"/>
      <c r="I5" s="14"/>
      <c r="J5" s="14"/>
      <c r="K5" s="14"/>
      <c r="L5" s="14"/>
      <c r="M5" s="13"/>
      <c r="N5" s="13"/>
    </row>
    <row r="6" spans="1:21" ht="14.4" x14ac:dyDescent="0.3">
      <c r="A6" s="13"/>
      <c r="B6" s="13"/>
      <c r="C6" s="13"/>
      <c r="D6" s="13" t="s">
        <v>6</v>
      </c>
      <c r="E6" s="13"/>
      <c r="F6" s="13"/>
      <c r="G6" s="13"/>
      <c r="H6" s="15">
        <v>73571.899999999994</v>
      </c>
      <c r="I6" s="15">
        <v>83443.600000000006</v>
      </c>
      <c r="J6" s="15">
        <v>88650.1</v>
      </c>
      <c r="K6" s="15">
        <v>106341.9</v>
      </c>
      <c r="L6" s="15">
        <v>115992.6</v>
      </c>
      <c r="M6" s="13">
        <v>126675.8</v>
      </c>
      <c r="N6" s="13">
        <v>129645.2</v>
      </c>
    </row>
    <row r="7" spans="1:21" ht="14.4" x14ac:dyDescent="0.3">
      <c r="A7" s="13"/>
      <c r="B7" s="13"/>
      <c r="C7" s="13"/>
      <c r="D7" s="13" t="s">
        <v>7</v>
      </c>
      <c r="E7" s="13"/>
      <c r="F7" s="13"/>
      <c r="G7" s="13"/>
      <c r="H7" s="15">
        <v>877</v>
      </c>
      <c r="I7" s="15">
        <v>1042.2</v>
      </c>
      <c r="J7" s="15">
        <v>2332.1</v>
      </c>
      <c r="K7" s="15">
        <v>1626.5</v>
      </c>
      <c r="L7" s="15">
        <v>2160.8000000000002</v>
      </c>
      <c r="M7" s="13">
        <v>3108.4</v>
      </c>
      <c r="N7" s="13">
        <v>4937.3999999999996</v>
      </c>
    </row>
    <row r="8" spans="1:21" ht="14.4" x14ac:dyDescent="0.3">
      <c r="A8" s="13"/>
      <c r="B8" s="13"/>
      <c r="C8" s="13"/>
      <c r="D8" s="13" t="s">
        <v>8</v>
      </c>
      <c r="E8" s="13"/>
      <c r="F8" s="13"/>
      <c r="G8" s="13"/>
      <c r="H8" s="15">
        <v>74448.899999999994</v>
      </c>
      <c r="I8" s="15">
        <v>84485.8</v>
      </c>
      <c r="J8" s="15">
        <v>90982.2</v>
      </c>
      <c r="K8" s="15">
        <v>107968.4</v>
      </c>
      <c r="L8" s="15">
        <v>118153.4</v>
      </c>
      <c r="M8" s="13">
        <v>129784.2</v>
      </c>
      <c r="N8" s="13">
        <v>134582.6</v>
      </c>
    </row>
    <row r="9" spans="1:21" ht="14.4" x14ac:dyDescent="0.3">
      <c r="A9" s="13"/>
      <c r="B9" s="13"/>
      <c r="C9" s="13"/>
      <c r="D9" s="14" t="s">
        <v>9</v>
      </c>
      <c r="E9" s="13"/>
      <c r="F9" s="13"/>
      <c r="G9" s="13"/>
      <c r="H9" s="15"/>
      <c r="I9" s="15"/>
      <c r="J9" s="15"/>
      <c r="K9" s="15"/>
      <c r="L9" s="15"/>
      <c r="M9" s="13"/>
      <c r="N9" s="13"/>
    </row>
    <row r="10" spans="1:21" ht="14.4" x14ac:dyDescent="0.3">
      <c r="A10" s="13"/>
      <c r="B10" s="13"/>
      <c r="C10" s="13"/>
      <c r="D10" s="13" t="s">
        <v>10</v>
      </c>
      <c r="E10" s="13"/>
      <c r="F10" s="13"/>
      <c r="G10" s="13"/>
      <c r="H10" s="15">
        <v>18111.400000000001</v>
      </c>
      <c r="I10" s="15">
        <v>21318.3</v>
      </c>
      <c r="J10" s="15">
        <v>23945.4</v>
      </c>
      <c r="K10" s="15">
        <v>32260.6</v>
      </c>
      <c r="L10" s="15">
        <v>30569.200000000001</v>
      </c>
      <c r="M10" s="13">
        <v>32945.9</v>
      </c>
      <c r="N10" s="13">
        <v>34403.699999999997</v>
      </c>
      <c r="T10" s="8"/>
    </row>
    <row r="11" spans="1:21" ht="14.4" x14ac:dyDescent="0.3">
      <c r="A11" s="13"/>
      <c r="B11" s="13"/>
      <c r="C11" s="13"/>
      <c r="D11" s="13" t="s">
        <v>11</v>
      </c>
      <c r="E11" s="13"/>
      <c r="F11" s="13"/>
      <c r="G11" s="13"/>
      <c r="H11" s="15">
        <v>11301.9</v>
      </c>
      <c r="I11" s="15">
        <v>14430.6</v>
      </c>
      <c r="J11" s="15">
        <v>14377.6</v>
      </c>
      <c r="K11" s="15">
        <v>14897.1</v>
      </c>
      <c r="L11" s="15">
        <v>13875.5</v>
      </c>
      <c r="M11" s="13">
        <v>16288.7</v>
      </c>
      <c r="N11" s="13">
        <v>15140.2</v>
      </c>
      <c r="T11" s="9"/>
      <c r="U11" s="9"/>
    </row>
    <row r="12" spans="1:21" ht="14.4" x14ac:dyDescent="0.3">
      <c r="A12" s="13"/>
      <c r="B12" s="13"/>
      <c r="C12" s="13"/>
      <c r="D12" s="13" t="s">
        <v>12</v>
      </c>
      <c r="E12" s="13"/>
      <c r="F12" s="13"/>
      <c r="G12" s="13"/>
      <c r="H12" s="15">
        <v>36.4</v>
      </c>
      <c r="I12" s="15">
        <v>-2299.5</v>
      </c>
      <c r="J12" s="15">
        <v>-3338.4</v>
      </c>
      <c r="K12" s="15">
        <v>-5354.8</v>
      </c>
      <c r="L12" s="15">
        <v>4623.7</v>
      </c>
      <c r="M12" s="13">
        <v>141.19999999999999</v>
      </c>
      <c r="N12" s="13">
        <v>-1901.3</v>
      </c>
    </row>
    <row r="13" spans="1:21" ht="14.4" x14ac:dyDescent="0.3">
      <c r="A13" s="13"/>
      <c r="B13" s="13"/>
      <c r="C13" s="13"/>
      <c r="D13" s="13" t="s">
        <v>13</v>
      </c>
      <c r="E13" s="13"/>
      <c r="F13" s="13"/>
      <c r="G13" s="13"/>
      <c r="H13" s="15"/>
      <c r="I13" s="15"/>
      <c r="J13" s="15"/>
      <c r="K13" s="15"/>
      <c r="L13" s="15"/>
      <c r="M13" s="13"/>
      <c r="N13" s="13"/>
    </row>
    <row r="14" spans="1:21" ht="14.4" x14ac:dyDescent="0.3">
      <c r="A14" s="13"/>
      <c r="B14" s="13"/>
      <c r="C14" s="13"/>
      <c r="D14" s="13" t="s">
        <v>14</v>
      </c>
      <c r="E14" s="13"/>
      <c r="F14" s="13"/>
      <c r="G14" s="13"/>
      <c r="H14" s="15">
        <v>13624.6</v>
      </c>
      <c r="I14" s="15">
        <v>15054.9</v>
      </c>
      <c r="J14" s="15">
        <v>16210.3</v>
      </c>
      <c r="K14" s="15">
        <v>19627.099999999999</v>
      </c>
      <c r="L14" s="15">
        <v>21313.5</v>
      </c>
      <c r="M14" s="13">
        <v>22010.1</v>
      </c>
      <c r="N14" s="13">
        <v>24539.200000000001</v>
      </c>
    </row>
    <row r="15" spans="1:21" ht="14.4" x14ac:dyDescent="0.3">
      <c r="A15" s="13"/>
      <c r="B15" s="13"/>
      <c r="C15" s="13"/>
      <c r="D15" s="13" t="s">
        <v>15</v>
      </c>
      <c r="E15" s="13"/>
      <c r="F15" s="13"/>
      <c r="G15" s="13"/>
      <c r="H15" s="15">
        <v>546.29999999999995</v>
      </c>
      <c r="I15" s="15">
        <v>650.6</v>
      </c>
      <c r="J15" s="15">
        <v>589.20000000000005</v>
      </c>
      <c r="K15" s="15">
        <v>523.70000000000005</v>
      </c>
      <c r="L15" s="15">
        <v>1073.5999999999999</v>
      </c>
      <c r="M15" s="13">
        <v>1124.0999999999999</v>
      </c>
      <c r="N15" s="13">
        <v>1217</v>
      </c>
    </row>
    <row r="16" spans="1:21" ht="14.4" x14ac:dyDescent="0.3">
      <c r="A16" s="13"/>
      <c r="B16" s="13"/>
      <c r="C16" s="13"/>
      <c r="D16" s="13" t="s">
        <v>16</v>
      </c>
      <c r="E16" s="13"/>
      <c r="F16" s="13"/>
      <c r="G16" s="13"/>
      <c r="H16" s="15">
        <v>1931.8</v>
      </c>
      <c r="I16" s="15">
        <v>2527.6</v>
      </c>
      <c r="J16" s="15">
        <v>2745.8</v>
      </c>
      <c r="K16" s="15">
        <v>3039.6</v>
      </c>
      <c r="L16" s="15">
        <v>3104.2</v>
      </c>
      <c r="M16" s="13">
        <v>2993</v>
      </c>
      <c r="N16" s="13">
        <v>3571.6</v>
      </c>
    </row>
    <row r="17" spans="1:14" ht="14.4" x14ac:dyDescent="0.3">
      <c r="A17" s="13"/>
      <c r="B17" s="13"/>
      <c r="C17" s="13"/>
      <c r="D17" s="13" t="s">
        <v>17</v>
      </c>
      <c r="E17" s="13"/>
      <c r="F17" s="13"/>
      <c r="G17" s="13"/>
      <c r="H17" s="15">
        <v>19349.900000000001</v>
      </c>
      <c r="I17" s="15">
        <v>20205.400000000001</v>
      </c>
      <c r="J17" s="15">
        <v>18031.3</v>
      </c>
      <c r="K17" s="15">
        <v>24382.7</v>
      </c>
      <c r="L17" s="15">
        <v>29516.2</v>
      </c>
      <c r="M17" s="13">
        <v>32835</v>
      </c>
      <c r="N17" s="13">
        <v>32341.9</v>
      </c>
    </row>
    <row r="18" spans="1:14" ht="14.4" x14ac:dyDescent="0.3">
      <c r="A18" s="13"/>
      <c r="B18" s="13"/>
      <c r="C18" s="13"/>
      <c r="D18" s="14" t="s">
        <v>18</v>
      </c>
      <c r="E18" s="13"/>
      <c r="F18" s="13"/>
      <c r="G18" s="13"/>
      <c r="H18" s="16">
        <v>64902.3</v>
      </c>
      <c r="I18" s="16">
        <v>71887.899999999994</v>
      </c>
      <c r="J18" s="16">
        <v>72561.2</v>
      </c>
      <c r="K18" s="16">
        <v>89376</v>
      </c>
      <c r="L18" s="16">
        <v>104075.9</v>
      </c>
      <c r="M18" s="14">
        <v>108338</v>
      </c>
      <c r="N18" s="14">
        <v>109312.3</v>
      </c>
    </row>
    <row r="19" spans="1:14" ht="14.4" x14ac:dyDescent="0.3">
      <c r="A19" s="13"/>
      <c r="B19" s="13"/>
      <c r="C19" s="13"/>
      <c r="D19" s="13" t="s">
        <v>19</v>
      </c>
      <c r="E19" s="13"/>
      <c r="F19" s="13"/>
      <c r="G19" s="13"/>
      <c r="H19" s="15">
        <v>9546.6</v>
      </c>
      <c r="I19" s="15">
        <v>12597.9</v>
      </c>
      <c r="J19" s="15">
        <v>18421</v>
      </c>
      <c r="K19" s="15">
        <v>18592.400000000001</v>
      </c>
      <c r="L19" s="15">
        <v>14077.5</v>
      </c>
      <c r="M19" s="13">
        <v>21446.2</v>
      </c>
      <c r="N19" s="13">
        <v>25270.3</v>
      </c>
    </row>
    <row r="20" spans="1:14" ht="14.4" x14ac:dyDescent="0.3">
      <c r="A20" s="13"/>
      <c r="B20" s="13"/>
      <c r="C20" s="13"/>
      <c r="D20" s="13" t="s">
        <v>20</v>
      </c>
      <c r="E20" s="13"/>
      <c r="F20" s="13"/>
      <c r="G20" s="13"/>
      <c r="H20" s="15">
        <v>0</v>
      </c>
      <c r="I20" s="15">
        <v>0</v>
      </c>
      <c r="J20" s="15">
        <v>0</v>
      </c>
      <c r="K20" s="15">
        <v>-149.6</v>
      </c>
      <c r="L20" s="15">
        <v>-1029.8</v>
      </c>
      <c r="M20" s="13">
        <v>-1214.9000000000001</v>
      </c>
      <c r="N20" s="13" t="s">
        <v>332</v>
      </c>
    </row>
    <row r="21" spans="1:14" ht="14.4" x14ac:dyDescent="0.3">
      <c r="A21" s="13"/>
      <c r="B21" s="13"/>
      <c r="C21" s="13"/>
      <c r="D21" s="14" t="s">
        <v>21</v>
      </c>
      <c r="E21" s="13"/>
      <c r="F21" s="13"/>
      <c r="G21" s="13"/>
      <c r="H21" s="16">
        <v>9546.6</v>
      </c>
      <c r="I21" s="16">
        <v>12597.9</v>
      </c>
      <c r="J21" s="16">
        <v>18421</v>
      </c>
      <c r="K21" s="16">
        <v>18442.8</v>
      </c>
      <c r="L21" s="16">
        <v>13047.7</v>
      </c>
      <c r="M21" s="14">
        <v>20231.3</v>
      </c>
      <c r="N21" s="14">
        <v>25270.3</v>
      </c>
    </row>
    <row r="22" spans="1:14" ht="14.4" x14ac:dyDescent="0.3">
      <c r="A22" s="13"/>
      <c r="B22" s="13"/>
      <c r="C22" s="13"/>
      <c r="D22" s="14" t="s">
        <v>22</v>
      </c>
      <c r="E22" s="13"/>
      <c r="F22" s="13"/>
      <c r="G22" s="13"/>
      <c r="H22" s="15"/>
      <c r="I22" s="15"/>
      <c r="J22" s="15"/>
      <c r="K22" s="15"/>
      <c r="L22" s="15"/>
      <c r="M22" s="13"/>
      <c r="N22" s="13"/>
    </row>
    <row r="23" spans="1:14" ht="14.4" x14ac:dyDescent="0.3">
      <c r="A23" s="13"/>
      <c r="B23" s="13"/>
      <c r="C23" s="13"/>
      <c r="D23" s="13" t="s">
        <v>23</v>
      </c>
      <c r="E23" s="13"/>
      <c r="F23" s="13"/>
      <c r="G23" s="13"/>
      <c r="H23" s="15">
        <v>2291.6999999999998</v>
      </c>
      <c r="I23" s="15">
        <v>3542.5</v>
      </c>
      <c r="J23" s="15">
        <v>3965.3</v>
      </c>
      <c r="K23" s="15">
        <v>3619.8</v>
      </c>
      <c r="L23" s="15">
        <v>2739</v>
      </c>
      <c r="M23" s="13">
        <v>4222.8</v>
      </c>
      <c r="N23" s="13">
        <v>5236</v>
      </c>
    </row>
    <row r="24" spans="1:14" ht="14.4" x14ac:dyDescent="0.3">
      <c r="A24" s="13"/>
      <c r="B24" s="13"/>
      <c r="C24" s="13"/>
      <c r="D24" s="10" t="s">
        <v>24</v>
      </c>
      <c r="E24" s="13"/>
      <c r="F24" s="13"/>
      <c r="G24" s="13"/>
      <c r="H24" s="15">
        <v>-481.5</v>
      </c>
      <c r="I24" s="15">
        <v>-2123.9</v>
      </c>
      <c r="J24" s="15">
        <v>-1722</v>
      </c>
      <c r="K24" s="15">
        <v>-1980.2</v>
      </c>
      <c r="L24" s="15">
        <v>240.6</v>
      </c>
      <c r="M24" s="13">
        <v>-2106.1</v>
      </c>
      <c r="N24" s="13">
        <v>-2125.6999999999998</v>
      </c>
    </row>
    <row r="25" spans="1:14" ht="14.4" x14ac:dyDescent="0.3">
      <c r="A25" s="13"/>
      <c r="B25" s="13"/>
      <c r="C25" s="13"/>
      <c r="D25" s="13" t="s">
        <v>32</v>
      </c>
      <c r="E25" s="13"/>
      <c r="F25" s="13"/>
      <c r="G25" s="13"/>
      <c r="H25" s="15">
        <v>0</v>
      </c>
      <c r="I25" s="15">
        <v>-313.8</v>
      </c>
      <c r="J25" s="15"/>
      <c r="K25" s="15"/>
      <c r="L25" s="15"/>
    </row>
    <row r="26" spans="1:14" ht="14.4" x14ac:dyDescent="0.3">
      <c r="A26" s="13"/>
      <c r="B26" s="13"/>
      <c r="C26" s="13"/>
      <c r="D26" s="13" t="s">
        <v>25</v>
      </c>
      <c r="E26" s="13"/>
      <c r="F26" s="13"/>
      <c r="G26" s="13"/>
      <c r="H26" s="15">
        <v>1810.2</v>
      </c>
      <c r="I26" s="15">
        <v>1104.8</v>
      </c>
      <c r="J26" s="15">
        <v>2243.3000000000002</v>
      </c>
      <c r="K26" s="15">
        <v>1639.6</v>
      </c>
      <c r="L26" s="15">
        <v>2979.6</v>
      </c>
      <c r="M26" s="6">
        <v>2116.6999999999998</v>
      </c>
      <c r="N26" s="6">
        <v>3110.3</v>
      </c>
    </row>
    <row r="27" spans="1:14" ht="14.4" x14ac:dyDescent="0.3">
      <c r="A27" s="13"/>
      <c r="B27" s="13"/>
      <c r="C27" s="13"/>
      <c r="D27" s="14" t="s">
        <v>26</v>
      </c>
      <c r="E27" s="13"/>
      <c r="F27" s="13"/>
      <c r="G27" s="13"/>
      <c r="H27" s="16">
        <v>7736.4</v>
      </c>
      <c r="I27" s="16">
        <v>11493.1</v>
      </c>
      <c r="J27" s="16">
        <v>16177.7</v>
      </c>
      <c r="K27" s="16">
        <v>16803.2</v>
      </c>
      <c r="L27" s="16">
        <v>10068.1</v>
      </c>
      <c r="M27" s="14">
        <v>18114.599999999999</v>
      </c>
      <c r="N27" s="14">
        <v>22160</v>
      </c>
    </row>
    <row r="28" spans="1:14" ht="14.4" x14ac:dyDescent="0.3">
      <c r="A28" s="13"/>
      <c r="B28" s="13"/>
      <c r="C28" s="13"/>
      <c r="D28" s="13" t="s">
        <v>27</v>
      </c>
      <c r="E28" s="13"/>
      <c r="F28" s="13"/>
      <c r="G28" s="13"/>
      <c r="H28" s="15">
        <v>131.30000000000001</v>
      </c>
      <c r="I28" s="15">
        <v>222.4</v>
      </c>
      <c r="J28" s="15">
        <v>327.5</v>
      </c>
      <c r="K28" s="15">
        <v>347</v>
      </c>
      <c r="L28" s="15">
        <v>226.4</v>
      </c>
      <c r="M28" s="13">
        <v>156.9</v>
      </c>
      <c r="N28" s="13">
        <v>499</v>
      </c>
    </row>
    <row r="29" spans="1:14" ht="14.4" x14ac:dyDescent="0.3">
      <c r="A29" s="13"/>
      <c r="B29" s="13"/>
      <c r="C29" s="13"/>
      <c r="D29" s="13" t="s">
        <v>28</v>
      </c>
      <c r="E29" s="13"/>
      <c r="F29" s="13"/>
      <c r="G29" s="13"/>
      <c r="H29" s="15">
        <v>7605.1</v>
      </c>
      <c r="I29" s="15">
        <v>11270.7</v>
      </c>
      <c r="J29" s="15">
        <v>15850.2</v>
      </c>
      <c r="K29" s="15">
        <v>16456.2</v>
      </c>
      <c r="L29" s="15">
        <v>9841.7000000000007</v>
      </c>
      <c r="M29" s="13">
        <v>17957.7</v>
      </c>
      <c r="N29" s="13">
        <v>21654.799999999999</v>
      </c>
    </row>
    <row r="30" spans="1:14" ht="14.4" x14ac:dyDescent="0.3">
      <c r="A30" s="13"/>
      <c r="B30" s="13"/>
      <c r="C30" s="13"/>
      <c r="D30" s="13"/>
      <c r="E30" s="13"/>
      <c r="F30" s="13"/>
      <c r="G30" s="13"/>
      <c r="H30" s="17"/>
      <c r="I30" s="13"/>
      <c r="J30" s="13"/>
      <c r="K30" s="13"/>
      <c r="L30" s="13"/>
      <c r="M30" s="13"/>
      <c r="N30" s="13"/>
    </row>
    <row r="31" spans="1:14" ht="14.4" x14ac:dyDescent="0.3">
      <c r="A31" s="11" t="s">
        <v>33</v>
      </c>
      <c r="B31" s="12"/>
      <c r="C31" s="12"/>
      <c r="D31" s="12"/>
      <c r="E31" s="12"/>
      <c r="F31" s="12"/>
      <c r="G31" s="12"/>
      <c r="H31" s="11">
        <f t="shared" ref="H31:N31" si="0">H4</f>
        <v>2019</v>
      </c>
      <c r="I31" s="11">
        <f t="shared" si="0"/>
        <v>2020</v>
      </c>
      <c r="J31" s="11">
        <f t="shared" si="0"/>
        <v>2021</v>
      </c>
      <c r="K31" s="11">
        <f t="shared" si="0"/>
        <v>2022</v>
      </c>
      <c r="L31" s="11">
        <f t="shared" si="0"/>
        <v>2023</v>
      </c>
      <c r="M31" s="11">
        <f t="shared" si="0"/>
        <v>2024</v>
      </c>
      <c r="N31" s="11">
        <f t="shared" si="0"/>
        <v>2025</v>
      </c>
    </row>
    <row r="32" spans="1:14" ht="14.4" x14ac:dyDescent="0.3">
      <c r="A32" s="13"/>
      <c r="B32" s="13"/>
      <c r="C32" s="13"/>
      <c r="D32" s="14"/>
      <c r="E32" s="13"/>
      <c r="F32" s="13"/>
      <c r="G32" s="13"/>
      <c r="H32" s="14"/>
      <c r="I32" s="14"/>
      <c r="J32" s="14"/>
      <c r="K32" s="14"/>
      <c r="L32" s="14"/>
      <c r="M32" s="13"/>
      <c r="N32" s="13"/>
    </row>
    <row r="33" spans="1:17" ht="14.4" x14ac:dyDescent="0.3">
      <c r="A33" s="13"/>
      <c r="B33" s="13"/>
      <c r="C33" s="13"/>
      <c r="D33" s="14" t="s">
        <v>3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ht="14.4" x14ac:dyDescent="0.3">
      <c r="A34" s="13"/>
      <c r="B34" s="13"/>
      <c r="C34" s="13"/>
      <c r="D34" s="14" t="s">
        <v>34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ht="14.4" x14ac:dyDescent="0.3">
      <c r="A35" s="13"/>
      <c r="B35" s="13"/>
      <c r="C35" s="13"/>
      <c r="D35" s="13" t="s">
        <v>35</v>
      </c>
      <c r="E35" s="13"/>
      <c r="F35" s="13"/>
      <c r="G35" s="13"/>
      <c r="H35" s="18">
        <v>21056.2</v>
      </c>
      <c r="I35" s="18">
        <v>23062.9</v>
      </c>
      <c r="J35" s="18">
        <v>22339.3</v>
      </c>
      <c r="K35" s="18">
        <v>22871</v>
      </c>
      <c r="L35" s="18">
        <v>20654</v>
      </c>
      <c r="M35" s="13">
        <v>21614.6</v>
      </c>
      <c r="N35" s="13">
        <v>20639.3</v>
      </c>
      <c r="O35" s="13"/>
      <c r="P35" s="13"/>
      <c r="Q35" s="13"/>
    </row>
    <row r="36" spans="1:17" ht="14.4" x14ac:dyDescent="0.3">
      <c r="A36" s="13"/>
      <c r="B36" s="13"/>
      <c r="C36" s="13"/>
      <c r="D36" s="13" t="s">
        <v>36</v>
      </c>
      <c r="E36" s="13"/>
      <c r="F36" s="13"/>
      <c r="G36" s="13"/>
      <c r="H36" s="18"/>
      <c r="I36" s="18"/>
      <c r="J36" s="18"/>
      <c r="K36" s="18"/>
      <c r="L36" s="18">
        <v>1378.5</v>
      </c>
      <c r="M36" s="13">
        <v>2471.6999999999998</v>
      </c>
      <c r="N36" s="13">
        <v>3222.2</v>
      </c>
      <c r="O36" s="13"/>
      <c r="P36" s="13"/>
      <c r="Q36" s="13"/>
    </row>
    <row r="37" spans="1:17" ht="14.4" x14ac:dyDescent="0.3">
      <c r="A37" s="13"/>
      <c r="B37" s="13"/>
      <c r="C37" s="13"/>
      <c r="D37" s="13" t="s">
        <v>37</v>
      </c>
      <c r="E37" s="13"/>
      <c r="F37" s="13"/>
      <c r="G37" s="13"/>
      <c r="H37" s="18">
        <v>4929.6000000000004</v>
      </c>
      <c r="I37" s="18">
        <v>3629.7</v>
      </c>
      <c r="J37" s="18">
        <v>3932.8</v>
      </c>
      <c r="K37" s="18">
        <v>3394.8</v>
      </c>
      <c r="L37" s="18">
        <v>3102.7</v>
      </c>
      <c r="M37" s="13">
        <v>1484</v>
      </c>
      <c r="N37" s="13">
        <v>4765.5</v>
      </c>
      <c r="O37" s="13"/>
      <c r="P37" s="13"/>
      <c r="Q37" s="13"/>
    </row>
    <row r="38" spans="1:17" ht="14.4" x14ac:dyDescent="0.3">
      <c r="A38" s="13"/>
      <c r="B38" s="13"/>
      <c r="C38" s="13"/>
      <c r="D38" s="13" t="s">
        <v>38</v>
      </c>
      <c r="E38" s="13"/>
      <c r="F38" s="13"/>
      <c r="G38" s="13"/>
      <c r="H38" s="18">
        <v>231.5</v>
      </c>
      <c r="I38" s="18">
        <v>259.3</v>
      </c>
      <c r="J38" s="18">
        <v>3953.9</v>
      </c>
      <c r="K38" s="18">
        <v>4030.9</v>
      </c>
      <c r="L38" s="18">
        <v>4131.7</v>
      </c>
      <c r="M38" s="13">
        <v>4167.3999999999996</v>
      </c>
      <c r="N38" s="13">
        <v>4231.1000000000004</v>
      </c>
      <c r="O38" s="13"/>
      <c r="P38" s="13"/>
      <c r="Q38" s="13"/>
    </row>
    <row r="39" spans="1:17" ht="14.4" x14ac:dyDescent="0.3">
      <c r="A39" s="13"/>
      <c r="B39" s="13"/>
      <c r="C39" s="13"/>
      <c r="D39" s="13" t="s">
        <v>39</v>
      </c>
      <c r="E39" s="13"/>
      <c r="F39" s="13"/>
      <c r="G39" s="13"/>
      <c r="H39" s="18">
        <v>442.6</v>
      </c>
      <c r="I39" s="18">
        <v>2032.7</v>
      </c>
      <c r="J39" s="18">
        <v>1636.6</v>
      </c>
      <c r="K39" s="18">
        <v>2115.4</v>
      </c>
      <c r="L39" s="13">
        <v>664.1</v>
      </c>
      <c r="M39" s="13">
        <v>474.1</v>
      </c>
      <c r="N39" s="13">
        <v>430.5</v>
      </c>
      <c r="O39" s="13"/>
      <c r="P39" s="13"/>
      <c r="Q39" s="13"/>
    </row>
    <row r="40" spans="1:17" ht="14.4" x14ac:dyDescent="0.3">
      <c r="A40" s="13"/>
      <c r="B40" s="13"/>
      <c r="C40" s="13"/>
      <c r="D40" s="13" t="s">
        <v>40</v>
      </c>
      <c r="E40" s="13"/>
      <c r="F40" s="13"/>
      <c r="G40" s="13"/>
      <c r="H40" s="18">
        <v>3574.1</v>
      </c>
      <c r="I40" s="18">
        <v>3725.2</v>
      </c>
      <c r="J40" s="13">
        <v>0</v>
      </c>
      <c r="K40" s="13">
        <v>0</v>
      </c>
      <c r="L40" s="18">
        <v>0</v>
      </c>
      <c r="M40" s="13">
        <v>101.7</v>
      </c>
      <c r="N40" s="13">
        <v>715.2</v>
      </c>
      <c r="O40" s="13"/>
      <c r="P40" s="13"/>
      <c r="Q40" s="13"/>
    </row>
    <row r="41" spans="1:17" ht="14.4" x14ac:dyDescent="0.3">
      <c r="A41" s="13"/>
      <c r="B41" s="13"/>
      <c r="C41" s="13"/>
      <c r="D41" s="13" t="s">
        <v>41</v>
      </c>
      <c r="E41" s="13"/>
      <c r="F41" s="13"/>
      <c r="G41" s="13"/>
      <c r="H41" s="18"/>
      <c r="I41" s="18"/>
      <c r="J41" s="13"/>
      <c r="K41" s="13"/>
      <c r="L41" s="13">
        <v>129.69999999999999</v>
      </c>
      <c r="M41" s="13"/>
      <c r="N41" s="13"/>
    </row>
    <row r="42" spans="1:17" ht="14.4" x14ac:dyDescent="0.3">
      <c r="A42" s="13"/>
      <c r="B42" s="13"/>
      <c r="C42" s="13"/>
      <c r="D42" s="14" t="s">
        <v>42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 ht="14.4" x14ac:dyDescent="0.3">
      <c r="A43" s="13"/>
      <c r="B43" s="13"/>
      <c r="C43" s="13"/>
      <c r="D43" s="13" t="s">
        <v>43</v>
      </c>
      <c r="E43" s="13"/>
      <c r="F43" s="13"/>
      <c r="G43" s="13"/>
      <c r="H43" s="13">
        <v>957.4</v>
      </c>
      <c r="I43" s="13">
        <v>915</v>
      </c>
      <c r="J43" s="18">
        <v>1539.5</v>
      </c>
      <c r="K43" s="18">
        <v>2316.6999999999998</v>
      </c>
      <c r="L43" s="18">
        <v>3046.1</v>
      </c>
      <c r="M43" s="13"/>
      <c r="N43" s="13">
        <v>323.8</v>
      </c>
      <c r="O43" s="13"/>
      <c r="P43" s="13"/>
      <c r="Q43" s="13"/>
    </row>
    <row r="44" spans="1:17" ht="14.4" x14ac:dyDescent="0.3">
      <c r="A44" s="13"/>
      <c r="B44" s="13"/>
      <c r="C44" s="13"/>
      <c r="D44" s="13" t="s">
        <v>44</v>
      </c>
      <c r="E44" s="13"/>
      <c r="F44" s="13"/>
      <c r="G44" s="13"/>
      <c r="H44" s="18">
        <v>136.30000000000001</v>
      </c>
      <c r="I44" s="18">
        <v>106.1</v>
      </c>
      <c r="J44" s="13">
        <v>80.2</v>
      </c>
      <c r="K44" s="13">
        <v>80.2</v>
      </c>
      <c r="L44" s="13">
        <v>80.2</v>
      </c>
      <c r="M44" s="13">
        <v>3348</v>
      </c>
      <c r="N44" s="13">
        <v>9108.6</v>
      </c>
      <c r="O44" s="13"/>
      <c r="P44" s="13"/>
      <c r="Q44" s="13"/>
    </row>
    <row r="45" spans="1:17" ht="14.4" x14ac:dyDescent="0.3">
      <c r="A45" s="13"/>
      <c r="B45" s="13"/>
      <c r="C45" s="13"/>
      <c r="D45" s="13" t="s">
        <v>45</v>
      </c>
      <c r="E45" s="13"/>
      <c r="F45" s="13"/>
      <c r="G45" s="13"/>
      <c r="H45" s="13">
        <v>462</v>
      </c>
      <c r="I45" s="13">
        <v>466.8</v>
      </c>
      <c r="J45" s="18">
        <v>607.9</v>
      </c>
      <c r="K45" s="18">
        <v>7106.7</v>
      </c>
      <c r="L45" s="18">
        <v>2952.5</v>
      </c>
      <c r="M45" s="13">
        <v>1202.2</v>
      </c>
      <c r="N45" s="13">
        <v>4753.6000000000004</v>
      </c>
      <c r="O45" s="13"/>
      <c r="P45" s="13"/>
      <c r="Q45" s="13"/>
    </row>
    <row r="46" spans="1:17" ht="14.4" x14ac:dyDescent="0.3">
      <c r="A46" s="13"/>
      <c r="B46" s="13"/>
      <c r="C46" s="13"/>
      <c r="D46" s="13" t="s">
        <v>46</v>
      </c>
      <c r="E46" s="13"/>
      <c r="F46" s="13"/>
      <c r="G46" s="13"/>
      <c r="H46" s="18">
        <v>7076.3</v>
      </c>
      <c r="I46" s="18">
        <v>9325.7000000000007</v>
      </c>
      <c r="J46" s="18">
        <v>11079.1</v>
      </c>
      <c r="K46" s="18">
        <v>13092.6</v>
      </c>
      <c r="L46" s="18">
        <v>13025</v>
      </c>
      <c r="M46" s="13">
        <v>15148.3</v>
      </c>
      <c r="N46" s="13">
        <v>17382.5</v>
      </c>
      <c r="O46" s="13"/>
      <c r="P46" s="13"/>
      <c r="Q46" s="13"/>
    </row>
    <row r="47" spans="1:17" ht="14.4" x14ac:dyDescent="0.3">
      <c r="A47" s="13"/>
      <c r="B47" s="13"/>
      <c r="C47" s="13"/>
      <c r="D47" s="13" t="s">
        <v>47</v>
      </c>
      <c r="E47" s="13"/>
      <c r="F47" s="13"/>
      <c r="G47" s="13"/>
      <c r="H47" s="13">
        <v>392.7</v>
      </c>
      <c r="I47" s="13">
        <v>419.5</v>
      </c>
      <c r="J47" s="13">
        <v>171.1</v>
      </c>
      <c r="K47" s="13">
        <v>533.1</v>
      </c>
      <c r="L47" s="13">
        <v>575.4</v>
      </c>
      <c r="M47" s="13">
        <v>781.7</v>
      </c>
      <c r="N47" s="13">
        <v>647.1</v>
      </c>
      <c r="O47" s="13"/>
      <c r="P47" s="13"/>
      <c r="Q47" s="13"/>
    </row>
    <row r="48" spans="1:17" ht="14.4" x14ac:dyDescent="0.3">
      <c r="A48" s="13"/>
      <c r="B48" s="13"/>
      <c r="C48" s="13"/>
      <c r="D48" s="13" t="s">
        <v>48</v>
      </c>
      <c r="E48" s="13"/>
      <c r="F48" s="13"/>
      <c r="G48" s="13"/>
      <c r="H48" s="13">
        <v>661.9</v>
      </c>
      <c r="I48" s="13">
        <v>530.1</v>
      </c>
      <c r="J48" s="13">
        <v>564</v>
      </c>
      <c r="K48" s="13">
        <v>796.2</v>
      </c>
      <c r="L48" s="13">
        <v>529.6</v>
      </c>
      <c r="M48" s="13">
        <v>839.5</v>
      </c>
      <c r="N48" s="13">
        <v>1233.4000000000001</v>
      </c>
      <c r="O48" s="13"/>
      <c r="P48" s="13"/>
      <c r="Q48" s="13"/>
    </row>
    <row r="49" spans="1:17" ht="14.4" x14ac:dyDescent="0.3">
      <c r="A49" s="14"/>
      <c r="B49" s="14"/>
      <c r="C49" s="14"/>
      <c r="D49" s="14" t="s">
        <v>49</v>
      </c>
      <c r="E49" s="14"/>
      <c r="F49" s="14"/>
      <c r="G49" s="14"/>
      <c r="H49" s="19">
        <v>39920.6</v>
      </c>
      <c r="I49" s="19">
        <v>44473</v>
      </c>
      <c r="J49" s="19">
        <v>45904.4</v>
      </c>
      <c r="K49" s="19">
        <v>56337.599999999999</v>
      </c>
      <c r="L49" s="19">
        <v>50269.5</v>
      </c>
      <c r="M49" s="14">
        <v>51633.2</v>
      </c>
      <c r="N49" s="14">
        <v>67452.800000000003</v>
      </c>
      <c r="O49" s="13"/>
      <c r="P49" s="13"/>
      <c r="Q49" s="13"/>
    </row>
    <row r="50" spans="1:17" ht="14.4" x14ac:dyDescent="0.3">
      <c r="A50" s="13"/>
      <c r="B50" s="13"/>
      <c r="C50" s="13"/>
      <c r="D50" s="14" t="s">
        <v>50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 ht="14.4" x14ac:dyDescent="0.3">
      <c r="A51" s="13"/>
      <c r="B51" s="13"/>
      <c r="C51" s="13"/>
      <c r="D51" s="13" t="s">
        <v>51</v>
      </c>
      <c r="E51" s="13"/>
      <c r="F51" s="13"/>
      <c r="G51" s="13"/>
      <c r="H51" s="18">
        <v>14998.7</v>
      </c>
      <c r="I51" s="18">
        <v>18188.2</v>
      </c>
      <c r="J51" s="18">
        <v>23124.400000000001</v>
      </c>
      <c r="K51" s="18">
        <v>30055.3</v>
      </c>
      <c r="L51" s="18">
        <v>26075.3</v>
      </c>
      <c r="M51" s="13">
        <v>26611.8</v>
      </c>
      <c r="N51" s="13">
        <v>29224.1</v>
      </c>
      <c r="O51" s="13"/>
      <c r="P51" s="13"/>
      <c r="Q51" s="13"/>
    </row>
    <row r="52" spans="1:17" ht="14.4" x14ac:dyDescent="0.3">
      <c r="A52" s="13"/>
      <c r="B52" s="13"/>
      <c r="C52" s="13"/>
      <c r="D52" s="14" t="s">
        <v>4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 ht="14.4" x14ac:dyDescent="0.3">
      <c r="A53" s="13"/>
      <c r="B53" s="13"/>
      <c r="C53" s="13"/>
      <c r="D53" s="13" t="s">
        <v>43</v>
      </c>
      <c r="E53" s="13"/>
      <c r="F53" s="13"/>
      <c r="G53" s="13"/>
      <c r="H53" s="18">
        <v>2278.8000000000002</v>
      </c>
      <c r="I53" s="18">
        <v>1698.9</v>
      </c>
      <c r="J53" s="18">
        <v>1788.3</v>
      </c>
      <c r="K53" s="18">
        <v>1393.1</v>
      </c>
      <c r="L53" s="18">
        <v>3172.1</v>
      </c>
      <c r="M53" s="13">
        <v>1489.9</v>
      </c>
      <c r="N53" s="13">
        <v>9022.6</v>
      </c>
      <c r="O53" s="13"/>
      <c r="P53" s="13"/>
      <c r="Q53" s="13"/>
    </row>
    <row r="54" spans="1:17" ht="14.4" x14ac:dyDescent="0.3">
      <c r="A54" s="13"/>
      <c r="B54" s="13"/>
      <c r="C54" s="13"/>
      <c r="D54" s="13" t="s">
        <v>52</v>
      </c>
      <c r="E54" s="13"/>
      <c r="F54" s="13"/>
      <c r="G54" s="13"/>
      <c r="H54" s="18">
        <v>12484.1</v>
      </c>
      <c r="I54" s="18">
        <v>16493.599999999999</v>
      </c>
      <c r="J54" s="18">
        <v>16072.1</v>
      </c>
      <c r="K54" s="18">
        <v>18846</v>
      </c>
      <c r="L54" s="18">
        <v>21321.8</v>
      </c>
      <c r="M54" s="13">
        <v>22528.1</v>
      </c>
      <c r="N54" s="13">
        <v>24662.5</v>
      </c>
      <c r="O54" s="13"/>
      <c r="P54" s="13"/>
      <c r="Q54" s="13"/>
    </row>
    <row r="55" spans="1:17" ht="14.4" x14ac:dyDescent="0.3">
      <c r="A55" s="13"/>
      <c r="B55" s="13"/>
      <c r="C55" s="13"/>
      <c r="D55" s="13" t="s">
        <v>53</v>
      </c>
      <c r="E55" s="13"/>
      <c r="F55" s="13"/>
      <c r="G55" s="13"/>
      <c r="H55" s="18">
        <v>2490.5</v>
      </c>
      <c r="I55" s="18">
        <v>1759.4</v>
      </c>
      <c r="J55" s="18">
        <v>1742.2</v>
      </c>
      <c r="K55" s="18">
        <v>2321.8000000000002</v>
      </c>
      <c r="L55" s="18">
        <v>2738</v>
      </c>
      <c r="M55" s="13">
        <v>4550.7</v>
      </c>
      <c r="N55" s="13">
        <v>3041.4</v>
      </c>
      <c r="O55" s="13"/>
      <c r="P55" s="13"/>
      <c r="Q55" s="13"/>
    </row>
    <row r="56" spans="1:17" ht="14.4" x14ac:dyDescent="0.3">
      <c r="A56" s="13"/>
      <c r="B56" s="13"/>
      <c r="C56" s="13"/>
      <c r="D56" s="13" t="s">
        <v>331</v>
      </c>
      <c r="E56" s="13"/>
      <c r="F56" s="13"/>
      <c r="G56" s="13"/>
      <c r="H56" s="18">
        <v>4125.5</v>
      </c>
      <c r="I56" s="18">
        <v>9162.7000000000007</v>
      </c>
      <c r="J56" s="18">
        <v>18162.3</v>
      </c>
      <c r="K56" s="18">
        <v>23464</v>
      </c>
      <c r="L56" s="18">
        <v>23430.9</v>
      </c>
      <c r="M56" s="13">
        <v>11242.8</v>
      </c>
      <c r="N56" s="13">
        <v>12589.4</v>
      </c>
      <c r="O56" s="13"/>
      <c r="P56" s="13"/>
      <c r="Q56" s="13"/>
    </row>
    <row r="57" spans="1:17" ht="14.4" x14ac:dyDescent="0.3">
      <c r="A57" s="13"/>
      <c r="B57" s="13"/>
      <c r="C57" s="13"/>
      <c r="D57" s="13" t="s">
        <v>54</v>
      </c>
      <c r="E57" s="13"/>
      <c r="F57" s="13"/>
      <c r="G57" s="13"/>
      <c r="H57" s="13">
        <v>308</v>
      </c>
      <c r="I57" s="13">
        <v>279.7</v>
      </c>
      <c r="J57" s="13">
        <v>187.3</v>
      </c>
      <c r="K57" s="13">
        <v>202.5</v>
      </c>
      <c r="L57" s="13">
        <v>67.7</v>
      </c>
      <c r="M57" s="13">
        <v>90.7</v>
      </c>
      <c r="N57" s="13">
        <v>90.4</v>
      </c>
      <c r="O57" s="13"/>
      <c r="P57" s="13"/>
      <c r="Q57" s="13"/>
    </row>
    <row r="58" spans="1:17" ht="14.4" x14ac:dyDescent="0.3">
      <c r="A58" s="13"/>
      <c r="B58" s="13"/>
      <c r="C58" s="13"/>
      <c r="D58" s="13" t="s">
        <v>55</v>
      </c>
      <c r="E58" s="13"/>
      <c r="F58" s="13"/>
      <c r="G58" s="13"/>
      <c r="H58" s="18">
        <v>1064.5999999999999</v>
      </c>
      <c r="I58" s="18">
        <v>1931</v>
      </c>
      <c r="J58" s="18">
        <v>2606</v>
      </c>
      <c r="K58" s="13">
        <v>1731.5</v>
      </c>
      <c r="L58" s="18">
        <v>1897.5</v>
      </c>
      <c r="M58" s="13">
        <v>29302</v>
      </c>
      <c r="N58" s="13">
        <v>21154.799999999999</v>
      </c>
      <c r="O58" s="13"/>
      <c r="P58" s="13"/>
      <c r="Q58" s="13"/>
    </row>
    <row r="59" spans="1:17" ht="14.4" x14ac:dyDescent="0.3">
      <c r="A59" s="13"/>
      <c r="B59" s="13"/>
      <c r="C59" s="13"/>
      <c r="D59" s="13" t="s">
        <v>56</v>
      </c>
      <c r="E59" s="13"/>
      <c r="F59" s="13"/>
      <c r="G59" s="13"/>
      <c r="H59" s="18">
        <v>4293.8</v>
      </c>
      <c r="I59" s="18">
        <v>5266</v>
      </c>
      <c r="J59" s="18">
        <v>5550.1</v>
      </c>
      <c r="K59" s="18">
        <v>6322.8</v>
      </c>
      <c r="L59" s="18">
        <v>7360.9</v>
      </c>
      <c r="M59" s="13">
        <v>8299.7999999999993</v>
      </c>
      <c r="N59" s="13">
        <v>8326.7000000000007</v>
      </c>
      <c r="O59" s="13"/>
      <c r="P59" s="13"/>
      <c r="Q59" s="13"/>
    </row>
    <row r="60" spans="1:17" ht="14.4" x14ac:dyDescent="0.3">
      <c r="A60" s="13"/>
      <c r="B60" s="13"/>
      <c r="C60" s="13"/>
      <c r="D60" s="13"/>
      <c r="E60" s="13"/>
      <c r="F60" s="13"/>
      <c r="G60" s="13"/>
      <c r="H60" s="19">
        <v>42044</v>
      </c>
      <c r="I60" s="19">
        <v>54779.5</v>
      </c>
      <c r="J60" s="19">
        <v>69232.7</v>
      </c>
      <c r="K60" s="19">
        <v>84337</v>
      </c>
      <c r="L60" s="19">
        <v>86064.2</v>
      </c>
      <c r="M60" s="14">
        <v>104115.8</v>
      </c>
      <c r="N60" s="14">
        <v>108111.9</v>
      </c>
    </row>
    <row r="61" spans="1:17" ht="14.4" x14ac:dyDescent="0.3">
      <c r="A61" s="13"/>
      <c r="B61" s="13"/>
      <c r="C61" s="13"/>
      <c r="D61" s="13" t="s">
        <v>57</v>
      </c>
      <c r="E61" s="13"/>
      <c r="F61" s="13"/>
      <c r="G61" s="13"/>
      <c r="H61" s="13">
        <v>117.3</v>
      </c>
      <c r="I61" s="13">
        <v>180.8</v>
      </c>
      <c r="J61" s="13">
        <v>55.5</v>
      </c>
      <c r="K61" s="13">
        <v>17.3</v>
      </c>
      <c r="L61" s="18">
        <v>1232.5999999999999</v>
      </c>
      <c r="M61" s="13"/>
      <c r="N61" s="13">
        <v>1346.3</v>
      </c>
    </row>
    <row r="62" spans="1:17" ht="14.4" x14ac:dyDescent="0.3">
      <c r="A62" s="13"/>
      <c r="B62" s="13"/>
      <c r="C62" s="13"/>
      <c r="D62" s="14" t="s">
        <v>58</v>
      </c>
      <c r="E62" s="13"/>
      <c r="F62" s="13"/>
      <c r="G62" s="13"/>
      <c r="H62" s="19">
        <v>42161.3</v>
      </c>
      <c r="I62" s="19">
        <v>54960.3</v>
      </c>
      <c r="J62" s="19">
        <v>69288.2</v>
      </c>
      <c r="K62" s="19">
        <v>84354.3</v>
      </c>
      <c r="L62" s="19">
        <v>87296.8</v>
      </c>
      <c r="M62" s="14">
        <v>104115.8</v>
      </c>
      <c r="N62" s="14">
        <v>109438.19999999998</v>
      </c>
      <c r="O62" s="13"/>
      <c r="P62" s="13"/>
      <c r="Q62" s="13"/>
    </row>
    <row r="63" spans="1:17" ht="14.4" x14ac:dyDescent="0.3">
      <c r="A63" s="13"/>
      <c r="B63" s="13"/>
      <c r="C63" s="13"/>
      <c r="D63" s="14"/>
      <c r="E63" s="13"/>
      <c r="F63" s="13"/>
      <c r="G63" s="13"/>
      <c r="H63" s="19"/>
      <c r="I63" s="19"/>
      <c r="J63" s="19"/>
      <c r="K63" s="19"/>
      <c r="L63" s="19"/>
      <c r="M63" s="13"/>
      <c r="N63" s="13"/>
      <c r="O63" s="13"/>
      <c r="P63" s="13"/>
      <c r="Q63" s="13"/>
    </row>
    <row r="64" spans="1:17" ht="14.4" x14ac:dyDescent="0.3">
      <c r="A64" s="13"/>
      <c r="B64" s="13"/>
      <c r="C64" s="13"/>
      <c r="D64" s="14" t="s">
        <v>59</v>
      </c>
      <c r="E64" s="13"/>
      <c r="F64" s="13"/>
      <c r="G64" s="13"/>
      <c r="H64" s="19">
        <v>82081.899999999994</v>
      </c>
      <c r="I64" s="19">
        <v>99433.3</v>
      </c>
      <c r="J64" s="19">
        <v>115192.6</v>
      </c>
      <c r="K64" s="19">
        <v>140691.9</v>
      </c>
      <c r="L64" s="19">
        <v>137566.29999999999</v>
      </c>
      <c r="M64" s="14">
        <v>155749</v>
      </c>
      <c r="N64" s="14">
        <v>176911</v>
      </c>
      <c r="O64" s="13"/>
      <c r="P64" s="13"/>
      <c r="Q64" s="13"/>
    </row>
    <row r="65" spans="1:17" ht="14.4" x14ac:dyDescent="0.3">
      <c r="A65" s="13"/>
      <c r="B65" s="13"/>
      <c r="C65" s="13"/>
      <c r="D65" s="14" t="s">
        <v>60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 ht="14.4" x14ac:dyDescent="0.3">
      <c r="A66" s="13"/>
      <c r="B66" s="13"/>
      <c r="C66" s="13"/>
      <c r="D66" s="14" t="s">
        <v>61</v>
      </c>
      <c r="E66" s="13"/>
      <c r="F66" s="13"/>
      <c r="G66" s="13"/>
      <c r="H66" s="18"/>
      <c r="I66" s="18"/>
      <c r="J66" s="18"/>
      <c r="K66" s="18"/>
      <c r="L66" s="18"/>
      <c r="M66" s="13"/>
      <c r="N66" s="13"/>
      <c r="O66" s="13"/>
      <c r="P66" s="13"/>
      <c r="Q66" s="13"/>
    </row>
    <row r="67" spans="1:17" ht="14.4" x14ac:dyDescent="0.3">
      <c r="A67" s="13"/>
      <c r="B67" s="13"/>
      <c r="C67" s="13"/>
      <c r="D67" s="13" t="s">
        <v>62</v>
      </c>
      <c r="E67" s="13"/>
      <c r="F67" s="13"/>
      <c r="G67" s="13"/>
      <c r="H67" s="13">
        <v>239.1</v>
      </c>
      <c r="I67" s="13">
        <v>239.1</v>
      </c>
      <c r="J67" s="13">
        <v>239.1</v>
      </c>
      <c r="K67" s="13">
        <v>239.1</v>
      </c>
      <c r="L67" s="13">
        <v>239.1</v>
      </c>
      <c r="M67" s="13">
        <v>239.1</v>
      </c>
      <c r="N67" s="13">
        <v>239.1</v>
      </c>
      <c r="O67" s="13"/>
      <c r="P67" s="13"/>
      <c r="Q67" s="13"/>
    </row>
    <row r="68" spans="1:17" ht="14.4" x14ac:dyDescent="0.3">
      <c r="A68" s="13"/>
      <c r="B68" s="13"/>
      <c r="C68" s="13"/>
      <c r="D68" s="13" t="s">
        <v>63</v>
      </c>
      <c r="E68" s="13"/>
      <c r="F68" s="13"/>
      <c r="G68" s="13"/>
      <c r="H68" s="18">
        <v>54154.3</v>
      </c>
      <c r="I68" s="18">
        <v>61367.6</v>
      </c>
      <c r="J68" s="18">
        <v>73528.2</v>
      </c>
      <c r="K68" s="18">
        <v>86139.9</v>
      </c>
      <c r="L68" s="18">
        <v>90213.8</v>
      </c>
      <c r="M68" s="13">
        <v>102881.5</v>
      </c>
      <c r="N68" s="13">
        <v>119609.60000000001</v>
      </c>
      <c r="O68" s="13"/>
      <c r="P68" s="13"/>
      <c r="Q68" s="13"/>
    </row>
    <row r="69" spans="1:17" ht="14.4" x14ac:dyDescent="0.3">
      <c r="A69" s="13"/>
      <c r="B69" s="13"/>
      <c r="C69" s="13"/>
      <c r="D69" s="14" t="s">
        <v>64</v>
      </c>
      <c r="E69" s="14"/>
      <c r="F69" s="14"/>
      <c r="G69" s="14"/>
      <c r="H69" s="19">
        <v>54393.4</v>
      </c>
      <c r="I69" s="19">
        <v>61606.7</v>
      </c>
      <c r="J69" s="19">
        <v>73767.3</v>
      </c>
      <c r="K69" s="19">
        <v>86379</v>
      </c>
      <c r="L69" s="19">
        <v>90452.9</v>
      </c>
      <c r="M69" s="14">
        <v>103120.6</v>
      </c>
      <c r="N69" s="14">
        <v>119848.7</v>
      </c>
      <c r="O69" s="13"/>
      <c r="P69" s="13"/>
      <c r="Q69" s="13"/>
    </row>
    <row r="70" spans="1:17" ht="14.4" x14ac:dyDescent="0.3">
      <c r="A70" s="13"/>
      <c r="B70" s="13"/>
      <c r="C70" s="13"/>
      <c r="D70" s="13" t="s">
        <v>65</v>
      </c>
      <c r="E70" s="13"/>
      <c r="F70" s="13"/>
      <c r="G70" s="13"/>
      <c r="H70" s="18">
        <v>1326.1</v>
      </c>
      <c r="I70" s="18">
        <v>1483</v>
      </c>
      <c r="J70" s="18">
        <v>1812.8</v>
      </c>
      <c r="K70" s="18">
        <v>2094.3000000000002</v>
      </c>
      <c r="L70" s="18">
        <v>3897.1</v>
      </c>
      <c r="M70" s="18">
        <v>4023.4</v>
      </c>
      <c r="N70" s="13">
        <v>4487.6000000000004</v>
      </c>
      <c r="O70" s="13"/>
      <c r="P70" s="13"/>
      <c r="Q70" s="13"/>
    </row>
    <row r="71" spans="1:17" ht="14.4" x14ac:dyDescent="0.3">
      <c r="A71" s="14"/>
      <c r="B71" s="14"/>
      <c r="C71" s="14"/>
      <c r="D71" s="14" t="s">
        <v>66</v>
      </c>
      <c r="E71" s="14"/>
      <c r="F71" s="14"/>
      <c r="G71" s="14"/>
      <c r="H71" s="19">
        <v>55719.5</v>
      </c>
      <c r="I71" s="19">
        <v>63089.7</v>
      </c>
      <c r="J71" s="19">
        <v>75580.100000000006</v>
      </c>
      <c r="K71" s="19">
        <v>88473.3</v>
      </c>
      <c r="L71" s="19">
        <v>94350</v>
      </c>
      <c r="M71" s="14">
        <v>107144</v>
      </c>
      <c r="N71" s="14">
        <v>124336.3</v>
      </c>
      <c r="O71" s="13"/>
      <c r="P71" s="13"/>
      <c r="Q71" s="13"/>
    </row>
    <row r="72" spans="1:17" ht="14.4" x14ac:dyDescent="0.3">
      <c r="A72" s="13"/>
      <c r="B72" s="13"/>
      <c r="C72" s="13"/>
      <c r="D72" s="14" t="s">
        <v>67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7" ht="14.4" x14ac:dyDescent="0.3">
      <c r="A73" s="13"/>
      <c r="B73" s="13"/>
      <c r="C73" s="13"/>
      <c r="D73" s="14" t="s">
        <v>68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spans="1:17" ht="14.4" x14ac:dyDescent="0.3">
      <c r="A74" s="13"/>
      <c r="B74" s="13"/>
      <c r="C74" s="13"/>
      <c r="D74" s="14" t="s">
        <v>69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1:17" ht="14.4" x14ac:dyDescent="0.3">
      <c r="A75" s="13"/>
      <c r="B75" s="13"/>
      <c r="C75" s="13"/>
      <c r="D75" s="13" t="s">
        <v>70</v>
      </c>
      <c r="E75" s="13"/>
      <c r="F75" s="13"/>
      <c r="G75" s="13"/>
      <c r="H75" s="18">
        <v>2313</v>
      </c>
      <c r="I75" s="18">
        <v>1592.4</v>
      </c>
      <c r="J75" s="13">
        <v>279.3</v>
      </c>
      <c r="K75" s="13">
        <v>93.8</v>
      </c>
      <c r="L75" s="13">
        <v>0</v>
      </c>
      <c r="M75" s="13">
        <v>400</v>
      </c>
      <c r="N75" s="13">
        <v>3109.1</v>
      </c>
      <c r="O75" s="13"/>
      <c r="P75" s="13"/>
      <c r="Q75" s="13"/>
    </row>
    <row r="76" spans="1:17" ht="14.4" x14ac:dyDescent="0.3">
      <c r="A76" s="13"/>
      <c r="B76" s="13"/>
      <c r="C76" s="13"/>
      <c r="D76" s="13" t="s">
        <v>71</v>
      </c>
      <c r="E76" s="13"/>
      <c r="F76" s="13"/>
      <c r="G76" s="13"/>
      <c r="H76" s="18"/>
      <c r="I76" s="18"/>
      <c r="J76" s="13">
        <v>697.1</v>
      </c>
      <c r="K76" s="13">
        <v>664.7</v>
      </c>
      <c r="L76" s="13">
        <v>703.3</v>
      </c>
      <c r="M76" s="13">
        <v>1892.6</v>
      </c>
      <c r="N76" s="13">
        <v>2674.2</v>
      </c>
      <c r="O76" s="13"/>
      <c r="P76" s="13"/>
      <c r="Q76" s="13"/>
    </row>
    <row r="77" spans="1:17" ht="14.4" x14ac:dyDescent="0.3">
      <c r="A77" s="13"/>
      <c r="B77" s="13"/>
      <c r="C77" s="13"/>
      <c r="D77" s="13" t="s">
        <v>72</v>
      </c>
      <c r="E77" s="13"/>
      <c r="F77" s="13"/>
      <c r="G77" s="13"/>
      <c r="H77" s="18"/>
      <c r="I77" s="18"/>
      <c r="J77" s="13"/>
      <c r="K77" s="13"/>
      <c r="L77" s="18">
        <v>1660.1</v>
      </c>
      <c r="M77" s="13">
        <v>3109.9</v>
      </c>
      <c r="N77" s="13">
        <v>3539.9</v>
      </c>
      <c r="O77" s="13"/>
      <c r="P77" s="13"/>
      <c r="Q77" s="13"/>
    </row>
    <row r="78" spans="1:17" ht="14.4" x14ac:dyDescent="0.3">
      <c r="A78" s="13"/>
      <c r="B78" s="13"/>
      <c r="C78" s="13"/>
      <c r="D78" s="13" t="s">
        <v>73</v>
      </c>
      <c r="E78" s="13"/>
      <c r="F78" s="13"/>
      <c r="G78" s="13"/>
      <c r="H78" s="18">
        <v>1737.2</v>
      </c>
      <c r="I78" s="18">
        <v>2220.4</v>
      </c>
      <c r="J78" s="18">
        <v>2507.3000000000002</v>
      </c>
      <c r="K78" s="18">
        <v>3327.5</v>
      </c>
      <c r="L78" s="18">
        <v>3693.6</v>
      </c>
      <c r="M78" s="13">
        <v>2998.6</v>
      </c>
      <c r="N78" s="13">
        <v>3382.2</v>
      </c>
      <c r="O78" s="13"/>
      <c r="P78" s="13"/>
      <c r="Q78" s="13"/>
    </row>
    <row r="79" spans="1:17" ht="14.4" x14ac:dyDescent="0.3">
      <c r="A79" s="13"/>
      <c r="B79" s="13"/>
      <c r="C79" s="13"/>
      <c r="D79" s="13" t="s">
        <v>74</v>
      </c>
      <c r="E79" s="13"/>
      <c r="F79" s="13"/>
      <c r="G79" s="13"/>
      <c r="H79" s="13">
        <v>3</v>
      </c>
      <c r="I79" s="13" t="s">
        <v>30</v>
      </c>
      <c r="J79" s="18"/>
      <c r="K79" s="18"/>
      <c r="L79" s="13">
        <v>0</v>
      </c>
      <c r="M79" s="13">
        <v>258.39999999999998</v>
      </c>
      <c r="N79" s="13">
        <v>219.5</v>
      </c>
      <c r="O79" s="13"/>
      <c r="P79" s="13"/>
      <c r="Q79" s="13"/>
    </row>
    <row r="80" spans="1:17" ht="14.4" x14ac:dyDescent="0.3">
      <c r="A80" s="13"/>
      <c r="B80" s="13"/>
      <c r="C80" s="13"/>
      <c r="D80" s="13" t="s">
        <v>75</v>
      </c>
      <c r="E80" s="13"/>
      <c r="F80" s="13"/>
      <c r="G80" s="13"/>
      <c r="H80" s="18">
        <v>133.9</v>
      </c>
      <c r="I80" s="18">
        <v>97.7</v>
      </c>
      <c r="J80" s="13">
        <v>88.3</v>
      </c>
      <c r="K80" s="13">
        <v>79.2</v>
      </c>
      <c r="L80" s="13">
        <v>88</v>
      </c>
      <c r="M80" s="13"/>
      <c r="N80" s="13"/>
    </row>
    <row r="81" spans="1:17" ht="14.4" x14ac:dyDescent="0.3">
      <c r="A81" s="14"/>
      <c r="B81" s="14"/>
      <c r="C81" s="14"/>
      <c r="D81" s="14" t="s">
        <v>76</v>
      </c>
      <c r="E81" s="14"/>
      <c r="F81" s="14"/>
      <c r="G81" s="14"/>
      <c r="H81" s="19">
        <v>4187.1000000000004</v>
      </c>
      <c r="I81" s="19">
        <v>3910.5</v>
      </c>
      <c r="J81" s="19">
        <v>3572</v>
      </c>
      <c r="K81" s="19">
        <v>4165.2</v>
      </c>
      <c r="L81" s="19">
        <v>6145</v>
      </c>
      <c r="M81" s="14">
        <v>8659.5</v>
      </c>
      <c r="N81" s="14">
        <v>12924.9</v>
      </c>
      <c r="O81" s="13"/>
      <c r="P81" s="13"/>
      <c r="Q81" s="13"/>
    </row>
    <row r="82" spans="1:17" ht="14.4" x14ac:dyDescent="0.3">
      <c r="A82" s="13"/>
      <c r="B82" s="13"/>
      <c r="C82" s="13"/>
      <c r="D82" s="13" t="s">
        <v>77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4"/>
      <c r="P82" s="13"/>
      <c r="Q82" s="14"/>
    </row>
    <row r="83" spans="1:17" ht="14.4" x14ac:dyDescent="0.3">
      <c r="A83" s="13"/>
      <c r="B83" s="13"/>
      <c r="C83" s="13"/>
      <c r="D83" s="13" t="s">
        <v>69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spans="1:17" ht="14.4" x14ac:dyDescent="0.3">
      <c r="A84" s="13"/>
      <c r="B84" s="13"/>
      <c r="C84" s="13"/>
      <c r="D84" s="13" t="s">
        <v>70</v>
      </c>
      <c r="E84" s="13"/>
      <c r="F84" s="13"/>
      <c r="G84" s="13"/>
      <c r="H84" s="18">
        <v>6712.7</v>
      </c>
      <c r="I84" s="18">
        <v>15035.1</v>
      </c>
      <c r="J84" s="18">
        <v>16727.900000000001</v>
      </c>
      <c r="K84" s="18">
        <v>25707.4</v>
      </c>
      <c r="L84" s="18">
        <v>13071.5</v>
      </c>
      <c r="M84" s="13">
        <v>11739.7</v>
      </c>
      <c r="N84" s="13">
        <v>7518.8</v>
      </c>
      <c r="O84" s="13"/>
      <c r="P84" s="13"/>
      <c r="Q84" s="13"/>
    </row>
    <row r="85" spans="1:17" ht="14.4" x14ac:dyDescent="0.3">
      <c r="A85" s="13"/>
      <c r="B85" s="13"/>
      <c r="C85" s="13"/>
      <c r="D85" s="13" t="s">
        <v>78</v>
      </c>
      <c r="E85" s="13"/>
      <c r="F85" s="13"/>
      <c r="G85" s="13"/>
      <c r="H85" s="13"/>
      <c r="I85" s="13"/>
      <c r="J85" s="18">
        <v>215.5</v>
      </c>
      <c r="K85" s="18">
        <v>216</v>
      </c>
      <c r="L85" s="13">
        <v>192</v>
      </c>
      <c r="M85" s="13">
        <v>151.80000000000001</v>
      </c>
      <c r="N85" s="13">
        <v>506.9</v>
      </c>
      <c r="O85" s="13"/>
      <c r="P85" s="13"/>
      <c r="Q85" s="13"/>
    </row>
    <row r="86" spans="1:17" ht="14.4" x14ac:dyDescent="0.3">
      <c r="A86" s="13"/>
      <c r="B86" s="13"/>
      <c r="C86" s="13"/>
      <c r="D86" s="13" t="s">
        <v>79</v>
      </c>
      <c r="E86" s="13"/>
      <c r="F86" s="13"/>
      <c r="G86" s="13"/>
      <c r="H86" s="13"/>
      <c r="I86" s="13"/>
      <c r="J86" s="18"/>
      <c r="K86" s="18"/>
      <c r="L86" s="13"/>
      <c r="M86" s="13"/>
      <c r="N86" s="13"/>
      <c r="O86" s="13"/>
      <c r="P86" s="13"/>
      <c r="Q86" s="13"/>
    </row>
    <row r="87" spans="1:17" ht="14.4" x14ac:dyDescent="0.3">
      <c r="A87" s="13"/>
      <c r="B87" s="13"/>
      <c r="C87" s="13"/>
      <c r="D87" s="13" t="s">
        <v>80</v>
      </c>
      <c r="E87" s="13"/>
      <c r="F87" s="13"/>
      <c r="G87" s="13"/>
      <c r="H87" s="13">
        <v>606.29999999999995</v>
      </c>
      <c r="I87" s="18">
        <v>1025</v>
      </c>
      <c r="J87" s="18">
        <v>1189.5999999999999</v>
      </c>
      <c r="K87" s="13">
        <v>924.2</v>
      </c>
      <c r="L87" s="18">
        <v>1104.5999999999999</v>
      </c>
      <c r="M87" s="13">
        <v>670</v>
      </c>
      <c r="N87" s="13">
        <v>879.8</v>
      </c>
      <c r="O87" s="13"/>
      <c r="P87" s="13"/>
      <c r="Q87" s="13"/>
    </row>
    <row r="88" spans="1:17" ht="14.4" x14ac:dyDescent="0.3">
      <c r="A88" s="13"/>
      <c r="B88" s="13"/>
      <c r="C88" s="13"/>
      <c r="D88" s="13" t="s">
        <v>81</v>
      </c>
      <c r="E88" s="13"/>
      <c r="F88" s="13"/>
      <c r="G88" s="13"/>
      <c r="H88" s="18">
        <v>9016.2000000000007</v>
      </c>
      <c r="I88" s="18">
        <v>8515.5</v>
      </c>
      <c r="J88" s="18">
        <v>9504.5</v>
      </c>
      <c r="K88" s="18">
        <v>10809.6</v>
      </c>
      <c r="L88" s="18">
        <v>10545.5</v>
      </c>
      <c r="M88" s="13">
        <v>16811.2</v>
      </c>
      <c r="N88" s="13">
        <v>17513.7</v>
      </c>
      <c r="O88" s="13"/>
      <c r="P88" s="13"/>
      <c r="Q88" s="13"/>
    </row>
    <row r="89" spans="1:17" ht="14.4" x14ac:dyDescent="0.3">
      <c r="A89" s="13"/>
      <c r="B89" s="13"/>
      <c r="C89" s="13"/>
      <c r="D89" s="13" t="s">
        <v>82</v>
      </c>
      <c r="E89" s="13"/>
      <c r="F89" s="13"/>
      <c r="G89" s="13"/>
      <c r="H89" s="18">
        <v>3428.7</v>
      </c>
      <c r="I89" s="18">
        <v>4519.6000000000004</v>
      </c>
      <c r="J89" s="18">
        <v>4653.8999999999996</v>
      </c>
      <c r="K89" s="18">
        <v>5993.8</v>
      </c>
      <c r="L89" s="18">
        <v>6326.9</v>
      </c>
      <c r="M89" s="13">
        <v>6457.7</v>
      </c>
      <c r="N89" s="13">
        <v>7908.1</v>
      </c>
      <c r="O89" s="13"/>
      <c r="P89" s="13"/>
      <c r="Q89" s="13"/>
    </row>
    <row r="90" spans="1:17" ht="14.4" x14ac:dyDescent="0.3">
      <c r="A90" s="13"/>
      <c r="B90" s="13"/>
      <c r="C90" s="13"/>
      <c r="D90" s="13" t="s">
        <v>83</v>
      </c>
      <c r="E90" s="13"/>
      <c r="F90" s="13"/>
      <c r="G90" s="13"/>
      <c r="H90" s="18">
        <v>852.1</v>
      </c>
      <c r="I90" s="18">
        <v>1035.0999999999999</v>
      </c>
      <c r="J90" s="18">
        <v>1193.4000000000001</v>
      </c>
      <c r="K90" s="18">
        <v>1503.2</v>
      </c>
      <c r="L90" s="18">
        <v>1868.9</v>
      </c>
      <c r="M90" s="13">
        <v>2296.5</v>
      </c>
      <c r="N90" s="13">
        <v>3120.4999999999768</v>
      </c>
      <c r="O90" s="13"/>
      <c r="P90" s="13"/>
      <c r="Q90" s="13"/>
    </row>
    <row r="91" spans="1:17" ht="14.4" x14ac:dyDescent="0.3">
      <c r="A91" s="13"/>
      <c r="B91" s="13"/>
      <c r="C91" s="13"/>
      <c r="D91" s="13" t="s">
        <v>84</v>
      </c>
      <c r="E91" s="13"/>
      <c r="F91" s="13"/>
      <c r="G91" s="13"/>
      <c r="H91" s="18">
        <v>1538.2</v>
      </c>
      <c r="I91" s="18">
        <v>1847</v>
      </c>
      <c r="J91" s="18">
        <v>2366.4</v>
      </c>
      <c r="K91" s="18">
        <v>2736</v>
      </c>
      <c r="L91" s="18">
        <v>3727.5</v>
      </c>
      <c r="M91" s="13">
        <v>1268.7</v>
      </c>
      <c r="N91" s="13">
        <v>1591</v>
      </c>
      <c r="O91" s="13"/>
      <c r="P91" s="13"/>
      <c r="Q91" s="13"/>
    </row>
    <row r="92" spans="1:17" ht="14.4" x14ac:dyDescent="0.3">
      <c r="A92" s="13"/>
      <c r="B92" s="13"/>
      <c r="C92" s="13"/>
      <c r="D92" s="13" t="s">
        <v>85</v>
      </c>
      <c r="E92" s="13"/>
      <c r="F92" s="13"/>
      <c r="G92" s="13"/>
      <c r="H92" s="18">
        <v>21.1</v>
      </c>
      <c r="I92" s="18">
        <v>455.8</v>
      </c>
      <c r="J92" s="18">
        <v>189.3</v>
      </c>
      <c r="K92" s="18">
        <v>163.19999999999999</v>
      </c>
      <c r="L92" s="13">
        <v>234.4</v>
      </c>
      <c r="M92" s="13">
        <v>549.9</v>
      </c>
      <c r="N92" s="13">
        <v>611</v>
      </c>
      <c r="O92" s="13"/>
      <c r="P92" s="13"/>
      <c r="Q92" s="13"/>
    </row>
    <row r="93" spans="1:17" ht="14.4" x14ac:dyDescent="0.3">
      <c r="A93" s="13"/>
      <c r="B93" s="13"/>
      <c r="C93" s="13"/>
      <c r="D93" s="14" t="s">
        <v>86</v>
      </c>
      <c r="E93" s="13"/>
      <c r="F93" s="13"/>
      <c r="G93" s="13"/>
      <c r="H93" s="19">
        <v>22175.3</v>
      </c>
      <c r="I93" s="19">
        <v>32433.1</v>
      </c>
      <c r="J93" s="19">
        <v>36040.5</v>
      </c>
      <c r="K93" s="19">
        <v>48053.4</v>
      </c>
      <c r="L93" s="19">
        <v>37071.5</v>
      </c>
      <c r="M93" s="14">
        <v>39945.5</v>
      </c>
      <c r="N93" s="14">
        <v>39649.300000000003</v>
      </c>
      <c r="O93" s="13"/>
      <c r="P93" s="13"/>
      <c r="Q93" s="13"/>
    </row>
    <row r="94" spans="1:17" ht="14.4" x14ac:dyDescent="0.3">
      <c r="A94" s="13"/>
      <c r="B94" s="13"/>
      <c r="C94" s="13"/>
      <c r="D94" s="14"/>
      <c r="E94" s="13"/>
      <c r="F94" s="13"/>
      <c r="G94" s="13"/>
      <c r="H94" s="19"/>
      <c r="I94" s="19"/>
      <c r="J94" s="19"/>
      <c r="K94" s="19"/>
      <c r="L94" s="19"/>
      <c r="M94" s="13"/>
      <c r="N94" s="13"/>
      <c r="O94" s="13"/>
      <c r="P94" s="13"/>
      <c r="Q94" s="13"/>
    </row>
    <row r="95" spans="1:17" ht="14.4" x14ac:dyDescent="0.3">
      <c r="A95" s="13"/>
      <c r="B95" s="13"/>
      <c r="C95" s="13"/>
      <c r="D95" s="14" t="s">
        <v>87</v>
      </c>
      <c r="E95" s="13"/>
      <c r="F95" s="13"/>
      <c r="G95" s="13"/>
      <c r="H95" s="19">
        <v>26362.400000000001</v>
      </c>
      <c r="I95" s="19">
        <v>36343.599999999999</v>
      </c>
      <c r="J95" s="19">
        <v>39612.5</v>
      </c>
      <c r="K95" s="19">
        <v>52218.6</v>
      </c>
      <c r="L95" s="19">
        <v>43216.5</v>
      </c>
      <c r="M95" s="14">
        <v>48605</v>
      </c>
      <c r="N95" s="14">
        <v>52574.1</v>
      </c>
      <c r="O95" s="13"/>
      <c r="P95" s="13"/>
      <c r="Q95" s="13"/>
    </row>
    <row r="96" spans="1:17" ht="14.4" x14ac:dyDescent="0.3">
      <c r="A96" s="13"/>
      <c r="B96" s="13"/>
      <c r="C96" s="13"/>
      <c r="D96" s="14" t="s">
        <v>88</v>
      </c>
      <c r="E96" s="13"/>
      <c r="F96" s="13"/>
      <c r="G96" s="13"/>
      <c r="H96" s="19">
        <v>82081.899999999994</v>
      </c>
      <c r="I96" s="19">
        <v>99433.3</v>
      </c>
      <c r="J96" s="19">
        <v>115192.6</v>
      </c>
      <c r="K96" s="19">
        <v>140691.9</v>
      </c>
      <c r="L96" s="19">
        <v>137566.5</v>
      </c>
      <c r="M96" s="14">
        <v>155749</v>
      </c>
      <c r="N96" s="14">
        <v>176911</v>
      </c>
      <c r="O96" s="13"/>
      <c r="P96" s="13"/>
      <c r="Q96" s="13"/>
    </row>
    <row r="97" spans="1:17" ht="14.4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9"/>
      <c r="K97" s="19"/>
      <c r="L97" s="13"/>
      <c r="M97" s="13"/>
      <c r="N97" s="13"/>
    </row>
    <row r="98" spans="1:17" ht="14.4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4"/>
      <c r="K98" s="14"/>
      <c r="L98" s="20"/>
      <c r="M98" s="13"/>
      <c r="N98" s="13"/>
      <c r="O98" s="13"/>
      <c r="P98" s="13"/>
      <c r="Q98" s="13"/>
    </row>
    <row r="99" spans="1:17" ht="14.4" x14ac:dyDescent="0.3">
      <c r="A99" s="11" t="s">
        <v>89</v>
      </c>
      <c r="B99" s="12"/>
      <c r="C99" s="12"/>
      <c r="D99" s="12"/>
      <c r="E99" s="12"/>
      <c r="F99" s="12"/>
      <c r="G99" s="12"/>
      <c r="H99" s="11">
        <v>2019</v>
      </c>
      <c r="I99" s="11">
        <v>2020</v>
      </c>
      <c r="J99" s="11">
        <v>2021</v>
      </c>
      <c r="K99" s="11">
        <v>2022</v>
      </c>
      <c r="L99" s="11">
        <v>2023</v>
      </c>
      <c r="M99" s="11">
        <v>2024</v>
      </c>
      <c r="N99" s="11">
        <v>2025</v>
      </c>
      <c r="O99" s="13"/>
      <c r="P99" s="13"/>
      <c r="Q99" s="13"/>
    </row>
    <row r="100" spans="1:17" ht="14.4" x14ac:dyDescent="0.3">
      <c r="A100" s="13"/>
      <c r="B100" s="13"/>
      <c r="C100" s="13"/>
      <c r="D100" s="14" t="s">
        <v>90</v>
      </c>
      <c r="E100" s="13"/>
      <c r="F100" s="13"/>
      <c r="G100" s="13"/>
      <c r="H100" s="18"/>
      <c r="I100" s="18"/>
      <c r="J100" s="18"/>
      <c r="K100" s="18"/>
      <c r="L100" s="13"/>
      <c r="M100" s="13"/>
      <c r="N100" s="13"/>
      <c r="O100" s="13"/>
      <c r="P100" s="13"/>
      <c r="Q100" s="13"/>
    </row>
    <row r="101" spans="1:17" ht="14.4" x14ac:dyDescent="0.3">
      <c r="A101" s="13"/>
      <c r="B101" s="13"/>
      <c r="C101" s="13"/>
      <c r="D101" s="19" t="s">
        <v>91</v>
      </c>
      <c r="E101" s="13"/>
      <c r="F101" s="13"/>
      <c r="G101" s="13"/>
      <c r="H101" s="19">
        <v>9546.6</v>
      </c>
      <c r="I101" s="19">
        <v>12597.9</v>
      </c>
      <c r="J101" s="19">
        <v>18421</v>
      </c>
      <c r="K101" s="19">
        <v>18442.8</v>
      </c>
      <c r="L101" s="19">
        <v>13047.7</v>
      </c>
      <c r="M101" s="14">
        <v>20231.3</v>
      </c>
      <c r="N101" s="14">
        <v>25270.3</v>
      </c>
      <c r="O101" s="13"/>
      <c r="P101" s="13"/>
      <c r="Q101" s="13"/>
    </row>
    <row r="102" spans="1:17" ht="14.4" x14ac:dyDescent="0.3">
      <c r="A102" s="13"/>
      <c r="B102" s="13"/>
      <c r="C102" s="13"/>
      <c r="D102" s="18" t="s">
        <v>92</v>
      </c>
      <c r="E102" s="13"/>
      <c r="F102" s="13"/>
      <c r="G102" s="13"/>
      <c r="H102" s="18"/>
      <c r="I102" s="18"/>
      <c r="J102" s="18"/>
      <c r="K102" s="18"/>
      <c r="L102" s="13"/>
      <c r="M102" s="13"/>
      <c r="N102" s="13"/>
      <c r="O102" s="13"/>
      <c r="P102" s="13"/>
      <c r="Q102" s="13"/>
    </row>
    <row r="103" spans="1:17" ht="14.4" x14ac:dyDescent="0.3">
      <c r="A103" s="13"/>
      <c r="B103" s="13"/>
      <c r="C103" s="13"/>
      <c r="D103" s="18" t="s">
        <v>93</v>
      </c>
      <c r="E103" s="13"/>
      <c r="F103" s="13"/>
      <c r="G103" s="13"/>
      <c r="H103" s="18">
        <v>1931.8</v>
      </c>
      <c r="I103" s="18">
        <v>2527.6</v>
      </c>
      <c r="J103" s="18">
        <v>2745.8</v>
      </c>
      <c r="K103" s="13">
        <v>3039.6</v>
      </c>
      <c r="L103" s="18">
        <v>3104.2</v>
      </c>
      <c r="M103" s="13">
        <v>2993</v>
      </c>
      <c r="N103" s="13">
        <v>3571.6</v>
      </c>
      <c r="O103" s="13"/>
      <c r="P103" s="13"/>
      <c r="Q103" s="13"/>
    </row>
    <row r="104" spans="1:17" ht="14.4" x14ac:dyDescent="0.3">
      <c r="A104" s="13"/>
      <c r="B104" s="13"/>
      <c r="C104" s="13"/>
      <c r="D104" s="13" t="s">
        <v>94</v>
      </c>
      <c r="E104" s="13"/>
      <c r="F104" s="13"/>
      <c r="G104" s="13"/>
      <c r="H104" s="13"/>
      <c r="I104" s="13"/>
      <c r="J104" s="13" t="s">
        <v>30</v>
      </c>
      <c r="K104" s="13">
        <v>-160.1</v>
      </c>
      <c r="L104" s="13">
        <v>-17.5</v>
      </c>
      <c r="M104" s="13">
        <v>-19.8</v>
      </c>
      <c r="N104" s="13">
        <v>-155.1</v>
      </c>
      <c r="O104" s="13"/>
      <c r="P104" s="13"/>
      <c r="Q104" s="13"/>
    </row>
    <row r="105" spans="1:17" ht="14.4" x14ac:dyDescent="0.3">
      <c r="A105" s="13"/>
      <c r="B105" s="13"/>
      <c r="C105" s="13"/>
      <c r="D105" s="13" t="s">
        <v>95</v>
      </c>
      <c r="E105" s="13"/>
      <c r="F105" s="13"/>
      <c r="G105" s="13"/>
      <c r="H105" s="13">
        <v>-73.3</v>
      </c>
      <c r="I105" s="13">
        <v>-0.8</v>
      </c>
      <c r="J105" s="13">
        <v>-102.6</v>
      </c>
      <c r="K105" s="18">
        <v>-33.799999999999997</v>
      </c>
      <c r="L105" s="13">
        <v>-21.6</v>
      </c>
      <c r="M105" s="13">
        <v>-146.30000000000001</v>
      </c>
      <c r="N105" s="13">
        <v>-110.2</v>
      </c>
      <c r="O105" s="13"/>
      <c r="P105" s="13"/>
      <c r="Q105" s="13"/>
    </row>
    <row r="106" spans="1:17" ht="14.4" x14ac:dyDescent="0.3">
      <c r="A106" s="13"/>
      <c r="B106" s="13"/>
      <c r="C106" s="13"/>
      <c r="D106" s="18" t="s">
        <v>96</v>
      </c>
      <c r="E106" s="13"/>
      <c r="F106" s="13"/>
      <c r="G106" s="13"/>
      <c r="H106" s="18">
        <v>45.5</v>
      </c>
      <c r="I106" s="18">
        <v>172.2</v>
      </c>
      <c r="J106" s="18">
        <v>-266.89999999999998</v>
      </c>
      <c r="K106" s="13">
        <v>69</v>
      </c>
      <c r="L106" s="13">
        <v>-287</v>
      </c>
      <c r="M106" s="13">
        <v>-5.4</v>
      </c>
      <c r="N106" s="13">
        <v>-418.7</v>
      </c>
      <c r="O106" s="13"/>
      <c r="P106" s="13"/>
      <c r="Q106" s="13"/>
    </row>
    <row r="107" spans="1:17" ht="14.4" x14ac:dyDescent="0.3">
      <c r="A107" s="13"/>
      <c r="B107" s="13"/>
      <c r="C107" s="13"/>
      <c r="D107" s="13" t="s">
        <v>97</v>
      </c>
      <c r="E107" s="13"/>
      <c r="F107" s="13"/>
      <c r="G107" s="13"/>
      <c r="H107" s="13">
        <v>54.8</v>
      </c>
      <c r="I107" s="13">
        <v>-12.6</v>
      </c>
      <c r="J107" s="13">
        <v>-37</v>
      </c>
      <c r="K107" s="13">
        <v>14.3</v>
      </c>
      <c r="L107" s="13">
        <v>123.6</v>
      </c>
      <c r="M107" s="13">
        <v>31.8</v>
      </c>
      <c r="N107" s="13">
        <v>-46</v>
      </c>
      <c r="O107" s="13"/>
      <c r="P107" s="13"/>
      <c r="Q107" s="13"/>
    </row>
    <row r="108" spans="1:17" ht="14.4" x14ac:dyDescent="0.3">
      <c r="A108" s="13"/>
      <c r="B108" s="13"/>
      <c r="C108" s="13"/>
      <c r="D108" s="13" t="s">
        <v>98</v>
      </c>
      <c r="E108" s="13"/>
      <c r="F108" s="13"/>
      <c r="G108" s="13"/>
      <c r="H108" s="13">
        <v>5.8</v>
      </c>
      <c r="I108" s="13">
        <v>1.5</v>
      </c>
      <c r="J108" s="13">
        <v>1.1000000000000001</v>
      </c>
      <c r="K108" s="13"/>
      <c r="L108" s="13"/>
      <c r="M108" s="13">
        <v>189.4</v>
      </c>
      <c r="N108" s="13">
        <v>166.1</v>
      </c>
      <c r="O108" s="13"/>
      <c r="P108" s="13"/>
      <c r="Q108" s="13"/>
    </row>
    <row r="109" spans="1:17" ht="14.4" x14ac:dyDescent="0.3">
      <c r="A109" s="13"/>
      <c r="B109" s="13"/>
      <c r="C109" s="13"/>
      <c r="D109" s="13" t="s">
        <v>99</v>
      </c>
      <c r="E109" s="13"/>
      <c r="F109" s="13"/>
      <c r="G109" s="13"/>
      <c r="H109" s="13"/>
      <c r="I109" s="13"/>
      <c r="J109" s="13">
        <v>-114.9</v>
      </c>
      <c r="K109" s="13"/>
      <c r="L109" s="13"/>
      <c r="M109" s="13"/>
      <c r="N109" s="13"/>
    </row>
    <row r="110" spans="1:17" ht="14.4" x14ac:dyDescent="0.3">
      <c r="A110" s="13"/>
      <c r="B110" s="13"/>
      <c r="C110" s="13"/>
      <c r="D110" s="18" t="s">
        <v>100</v>
      </c>
      <c r="E110" s="13"/>
      <c r="F110" s="13"/>
      <c r="G110" s="13"/>
      <c r="H110" s="18">
        <v>-113.8</v>
      </c>
      <c r="I110" s="18">
        <v>-275.39999999999998</v>
      </c>
      <c r="J110" s="18">
        <v>9.6999999999999993</v>
      </c>
      <c r="K110" s="18">
        <v>-177</v>
      </c>
      <c r="L110" s="13">
        <v>-118.8</v>
      </c>
      <c r="M110" s="13">
        <v>594.29999999999995</v>
      </c>
      <c r="N110" s="13">
        <v>111.6</v>
      </c>
      <c r="O110" s="13"/>
      <c r="P110" s="13"/>
      <c r="Q110" s="13"/>
    </row>
    <row r="111" spans="1:17" ht="14.4" x14ac:dyDescent="0.3">
      <c r="A111" s="13"/>
      <c r="B111" s="13"/>
      <c r="C111" s="13"/>
      <c r="D111" s="13" t="s">
        <v>101</v>
      </c>
      <c r="E111" s="13"/>
      <c r="F111" s="13"/>
      <c r="G111" s="13"/>
      <c r="H111" s="13">
        <v>-1.2</v>
      </c>
      <c r="I111" s="13">
        <v>-1.1000000000000001</v>
      </c>
      <c r="J111" s="13">
        <v>-0.2</v>
      </c>
      <c r="K111" s="18">
        <v>-1.9</v>
      </c>
      <c r="L111" s="13">
        <v>-1.9</v>
      </c>
      <c r="M111" s="13">
        <v>-1.9</v>
      </c>
      <c r="N111" s="13">
        <v>-1.7</v>
      </c>
      <c r="O111" s="13"/>
      <c r="P111" s="13"/>
      <c r="Q111" s="13"/>
    </row>
    <row r="112" spans="1:17" ht="14.4" x14ac:dyDescent="0.3">
      <c r="A112" s="13"/>
      <c r="B112" s="13"/>
      <c r="C112" s="13"/>
      <c r="D112" s="13" t="s">
        <v>102</v>
      </c>
      <c r="E112" s="13"/>
      <c r="F112" s="13"/>
      <c r="G112" s="13"/>
      <c r="H112" s="13"/>
      <c r="I112" s="13"/>
      <c r="J112" s="13">
        <v>-351</v>
      </c>
      <c r="K112" s="18"/>
      <c r="L112" s="13"/>
      <c r="M112" s="13"/>
      <c r="N112" s="13"/>
    </row>
    <row r="113" spans="1:17" ht="14.4" x14ac:dyDescent="0.3">
      <c r="A113" s="13"/>
      <c r="B113" s="13"/>
      <c r="C113" s="13"/>
      <c r="D113" s="13" t="s">
        <v>103</v>
      </c>
      <c r="E113" s="13"/>
      <c r="F113" s="13"/>
      <c r="G113" s="13"/>
      <c r="H113" s="13" t="s">
        <v>30</v>
      </c>
      <c r="I113" s="13">
        <v>32.700000000000003</v>
      </c>
      <c r="J113" s="13" t="s">
        <v>30</v>
      </c>
      <c r="K113" s="18">
        <v>11.2</v>
      </c>
      <c r="L113" s="18">
        <v>1051.5</v>
      </c>
      <c r="M113" s="13">
        <v>992.2</v>
      </c>
      <c r="N113" s="13">
        <v>137.30000000000001</v>
      </c>
      <c r="O113" s="13"/>
      <c r="P113" s="13"/>
      <c r="Q113" s="13"/>
    </row>
    <row r="114" spans="1:17" ht="14.4" x14ac:dyDescent="0.3">
      <c r="A114" s="13"/>
      <c r="B114" s="13"/>
      <c r="C114" s="13"/>
      <c r="D114" s="13" t="s">
        <v>104</v>
      </c>
      <c r="E114" s="13"/>
      <c r="F114" s="13"/>
      <c r="G114" s="13"/>
      <c r="H114" s="13">
        <v>-412.8</v>
      </c>
      <c r="I114" s="13">
        <v>-631.20000000000005</v>
      </c>
      <c r="J114" s="13">
        <v>-901.2</v>
      </c>
      <c r="K114" s="18">
        <v>-1226.8</v>
      </c>
      <c r="L114" s="18">
        <v>-1711.4</v>
      </c>
      <c r="M114" s="13">
        <v>-2757.7</v>
      </c>
      <c r="N114" s="13">
        <v>-3587.8</v>
      </c>
      <c r="O114" s="13"/>
      <c r="P114" s="13"/>
      <c r="Q114" s="13"/>
    </row>
    <row r="115" spans="1:17" ht="14.4" x14ac:dyDescent="0.3">
      <c r="A115" s="13"/>
      <c r="B115" s="13"/>
      <c r="C115" s="13"/>
      <c r="D115" s="13" t="s">
        <v>105</v>
      </c>
      <c r="E115" s="13"/>
      <c r="F115" s="13"/>
      <c r="G115" s="13"/>
      <c r="H115" s="13">
        <v>546.29999999999995</v>
      </c>
      <c r="I115" s="13">
        <v>650.6</v>
      </c>
      <c r="J115" s="13">
        <v>589.20000000000005</v>
      </c>
      <c r="K115" s="18">
        <v>523.70000000000005</v>
      </c>
      <c r="L115" s="18">
        <v>1073.5999999999999</v>
      </c>
      <c r="M115" s="13">
        <v>1124.0999999999999</v>
      </c>
      <c r="N115" s="13">
        <v>1217</v>
      </c>
      <c r="O115" s="13"/>
      <c r="P115" s="13"/>
      <c r="Q115" s="13"/>
    </row>
    <row r="116" spans="1:17" ht="14.4" x14ac:dyDescent="0.3">
      <c r="A116" s="13"/>
      <c r="B116" s="13"/>
      <c r="C116" s="13"/>
      <c r="D116" s="13" t="s">
        <v>106</v>
      </c>
      <c r="E116" s="13"/>
      <c r="F116" s="13"/>
      <c r="G116" s="13"/>
      <c r="H116" s="13">
        <v>185.9</v>
      </c>
      <c r="I116" s="13">
        <v>101.7</v>
      </c>
      <c r="J116" s="13">
        <v>82.8</v>
      </c>
      <c r="K116" s="18">
        <v>27.8</v>
      </c>
      <c r="L116" s="13">
        <v>48.8</v>
      </c>
      <c r="M116" s="13">
        <v>318</v>
      </c>
      <c r="N116" s="13">
        <v>20.2</v>
      </c>
    </row>
    <row r="117" spans="1:17" ht="14.4" x14ac:dyDescent="0.3">
      <c r="A117" s="13"/>
      <c r="B117" s="13"/>
      <c r="C117" s="13"/>
      <c r="D117" s="13" t="s">
        <v>107</v>
      </c>
      <c r="E117" s="13"/>
      <c r="F117" s="13"/>
      <c r="G117" s="13"/>
      <c r="H117" s="13">
        <v>-5.3</v>
      </c>
      <c r="I117" s="13">
        <v>-6.5</v>
      </c>
      <c r="J117" s="13">
        <v>-8.4</v>
      </c>
      <c r="K117" s="18"/>
      <c r="L117" s="13"/>
      <c r="M117" s="13">
        <v>524</v>
      </c>
      <c r="N117" s="13">
        <v>133.69999999999999</v>
      </c>
    </row>
    <row r="118" spans="1:17" ht="14.4" x14ac:dyDescent="0.3">
      <c r="A118" s="13"/>
      <c r="B118" s="13"/>
      <c r="C118" s="13"/>
      <c r="D118" s="19" t="s">
        <v>108</v>
      </c>
      <c r="E118" s="13"/>
      <c r="F118" s="13"/>
      <c r="G118" s="13"/>
      <c r="H118" s="19">
        <v>2163.6999999999998</v>
      </c>
      <c r="I118" s="19">
        <v>2558.6999999999998</v>
      </c>
      <c r="J118" s="19">
        <v>1646.4</v>
      </c>
      <c r="K118" s="19">
        <v>2086</v>
      </c>
      <c r="L118" s="19">
        <v>3243.5</v>
      </c>
      <c r="M118" s="14">
        <v>3835.7</v>
      </c>
      <c r="N118" s="14">
        <v>1038</v>
      </c>
      <c r="O118" s="13"/>
      <c r="P118" s="13"/>
      <c r="Q118" s="13"/>
    </row>
    <row r="119" spans="1:17" ht="14.4" x14ac:dyDescent="0.3">
      <c r="A119" s="13"/>
      <c r="B119" s="13"/>
      <c r="C119" s="13"/>
      <c r="D119" s="18" t="s">
        <v>109</v>
      </c>
      <c r="E119" s="13"/>
      <c r="F119" s="13"/>
      <c r="G119" s="13"/>
      <c r="H119" s="18">
        <v>11710.3</v>
      </c>
      <c r="I119" s="18">
        <v>15156.6</v>
      </c>
      <c r="J119" s="18">
        <v>20067.400000000001</v>
      </c>
      <c r="K119" s="18">
        <v>20528.8</v>
      </c>
      <c r="L119" s="18">
        <v>16291.2</v>
      </c>
      <c r="M119" s="13">
        <v>24067</v>
      </c>
      <c r="N119" s="13">
        <v>26308.3</v>
      </c>
      <c r="O119" s="13"/>
      <c r="P119" s="13"/>
      <c r="Q119" s="13"/>
    </row>
    <row r="120" spans="1:17" ht="14.4" x14ac:dyDescent="0.3">
      <c r="A120" s="13"/>
      <c r="B120" s="13"/>
      <c r="C120" s="13"/>
      <c r="D120" s="14" t="s">
        <v>110</v>
      </c>
      <c r="E120" s="13"/>
      <c r="F120" s="13"/>
      <c r="G120" s="13"/>
      <c r="H120" s="13"/>
      <c r="I120" s="13"/>
      <c r="J120" s="13"/>
      <c r="K120" s="18"/>
      <c r="L120" s="13"/>
      <c r="M120" s="13"/>
      <c r="N120" s="13"/>
      <c r="O120" s="13"/>
      <c r="P120" s="13"/>
      <c r="Q120" s="13"/>
    </row>
    <row r="121" spans="1:17" ht="14.4" x14ac:dyDescent="0.3">
      <c r="A121" s="13"/>
      <c r="B121" s="13"/>
      <c r="C121" s="13"/>
      <c r="D121" s="18" t="s">
        <v>111</v>
      </c>
      <c r="E121" s="13"/>
      <c r="F121" s="13"/>
      <c r="G121" s="13"/>
      <c r="H121" s="18">
        <v>-1558.5</v>
      </c>
      <c r="I121" s="18">
        <v>-2574.4</v>
      </c>
      <c r="J121" s="18">
        <v>-257.60000000000002</v>
      </c>
      <c r="K121" s="18">
        <v>-2217.5</v>
      </c>
      <c r="L121" s="18">
        <v>-1347.1</v>
      </c>
      <c r="M121" s="13">
        <v>-2219.9</v>
      </c>
      <c r="N121" s="13">
        <v>-2185.5</v>
      </c>
      <c r="O121" s="13"/>
      <c r="P121" s="13"/>
      <c r="Q121" s="13"/>
    </row>
    <row r="122" spans="1:17" ht="14.4" x14ac:dyDescent="0.3">
      <c r="A122" s="13"/>
      <c r="B122" s="13"/>
      <c r="C122" s="13"/>
      <c r="D122" s="13" t="s">
        <v>112</v>
      </c>
      <c r="E122" s="13"/>
      <c r="F122" s="13"/>
      <c r="G122" s="13"/>
      <c r="H122" s="13">
        <v>156.80000000000001</v>
      </c>
      <c r="I122" s="13">
        <v>-1538</v>
      </c>
      <c r="J122" s="13">
        <v>-926.5</v>
      </c>
      <c r="K122" s="13">
        <v>-435.8</v>
      </c>
      <c r="L122" s="13">
        <v>-770.1</v>
      </c>
      <c r="M122" s="13">
        <v>-1351.1</v>
      </c>
      <c r="N122" s="13">
        <v>249.9</v>
      </c>
      <c r="O122" s="13"/>
      <c r="P122" s="13"/>
      <c r="Q122" s="13"/>
    </row>
    <row r="123" spans="1:17" ht="14.4" x14ac:dyDescent="0.3">
      <c r="A123" s="13"/>
      <c r="B123" s="13"/>
      <c r="C123" s="13"/>
      <c r="D123" s="18" t="s">
        <v>113</v>
      </c>
      <c r="E123" s="13"/>
      <c r="F123" s="13"/>
      <c r="G123" s="13"/>
      <c r="H123" s="18">
        <v>-373</v>
      </c>
      <c r="I123" s="18">
        <v>-2817.4</v>
      </c>
      <c r="J123" s="18">
        <v>-4977</v>
      </c>
      <c r="K123" s="18">
        <v>-6731.4</v>
      </c>
      <c r="L123" s="18">
        <v>4734.1000000000004</v>
      </c>
      <c r="M123" s="13">
        <v>-734</v>
      </c>
      <c r="N123" s="13">
        <v>-2612.3000000000002</v>
      </c>
      <c r="O123" s="13"/>
      <c r="P123" s="13"/>
      <c r="Q123" s="13"/>
    </row>
    <row r="124" spans="1:17" ht="14.4" x14ac:dyDescent="0.3">
      <c r="A124" s="13"/>
      <c r="B124" s="13"/>
      <c r="C124" s="13"/>
      <c r="D124" s="18" t="s">
        <v>114</v>
      </c>
      <c r="E124" s="13"/>
      <c r="F124" s="13"/>
      <c r="G124" s="13"/>
      <c r="H124" s="18">
        <v>-109.5</v>
      </c>
      <c r="I124" s="18">
        <v>-37.4</v>
      </c>
      <c r="J124" s="18">
        <v>2124.1999999999998</v>
      </c>
      <c r="K124" s="18">
        <v>3344.9</v>
      </c>
      <c r="L124" s="13">
        <v>145.1</v>
      </c>
      <c r="M124" s="13">
        <v>5252.8</v>
      </c>
      <c r="N124" s="13">
        <v>2166.5</v>
      </c>
      <c r="O124" s="13"/>
      <c r="P124" s="13"/>
      <c r="Q124" s="13"/>
    </row>
    <row r="125" spans="1:17" ht="14.4" x14ac:dyDescent="0.3">
      <c r="A125" s="13"/>
      <c r="B125" s="13"/>
      <c r="C125" s="13"/>
      <c r="D125" s="13" t="s">
        <v>115</v>
      </c>
      <c r="E125" s="13"/>
      <c r="F125" s="13"/>
      <c r="G125" s="13"/>
      <c r="H125" s="13">
        <v>481.5</v>
      </c>
      <c r="I125" s="13">
        <v>495.2</v>
      </c>
      <c r="J125" s="13">
        <v>625.29999999999995</v>
      </c>
      <c r="K125" s="13">
        <v>590.20000000000005</v>
      </c>
      <c r="L125" s="13">
        <v>505.7</v>
      </c>
      <c r="M125" s="13">
        <v>-1464.7</v>
      </c>
      <c r="N125" s="13">
        <v>241.7</v>
      </c>
      <c r="O125" s="13"/>
      <c r="P125" s="13"/>
      <c r="Q125" s="13"/>
    </row>
    <row r="126" spans="1:17" ht="14.4" x14ac:dyDescent="0.3">
      <c r="A126" s="13"/>
      <c r="B126" s="13"/>
      <c r="C126" s="13"/>
      <c r="D126" s="19" t="s">
        <v>116</v>
      </c>
      <c r="E126" s="13"/>
      <c r="F126" s="13"/>
      <c r="G126" s="13"/>
      <c r="H126" s="19">
        <v>-1402.7</v>
      </c>
      <c r="I126" s="19">
        <v>-6472</v>
      </c>
      <c r="J126" s="19">
        <v>-3411.6</v>
      </c>
      <c r="K126" s="19">
        <v>-5449.6</v>
      </c>
      <c r="L126" s="19">
        <v>3267.7</v>
      </c>
      <c r="M126" s="14">
        <v>-516.9</v>
      </c>
      <c r="N126" s="14">
        <v>-2139.6999999999998</v>
      </c>
      <c r="O126" s="13"/>
      <c r="P126" s="13"/>
      <c r="Q126" s="13"/>
    </row>
    <row r="127" spans="1:17" ht="14.4" x14ac:dyDescent="0.3">
      <c r="A127" s="13"/>
      <c r="B127" s="13"/>
      <c r="C127" s="13"/>
      <c r="D127" s="18" t="s">
        <v>117</v>
      </c>
      <c r="E127" s="13"/>
      <c r="F127" s="13"/>
      <c r="G127" s="13"/>
      <c r="H127" s="18">
        <v>10307.6</v>
      </c>
      <c r="I127" s="18">
        <v>8684.6</v>
      </c>
      <c r="J127" s="18">
        <v>16655.8</v>
      </c>
      <c r="K127" s="18">
        <v>15079.2</v>
      </c>
      <c r="L127" s="18">
        <v>19558.900000000001</v>
      </c>
      <c r="M127" s="13">
        <v>23550.1</v>
      </c>
      <c r="N127" s="13">
        <v>24168.6</v>
      </c>
      <c r="O127" s="13"/>
      <c r="P127" s="13"/>
      <c r="Q127" s="13"/>
    </row>
    <row r="128" spans="1:17" ht="14.4" x14ac:dyDescent="0.3">
      <c r="A128" s="13"/>
      <c r="B128" s="13"/>
      <c r="C128" s="13"/>
      <c r="D128" s="18" t="s">
        <v>118</v>
      </c>
      <c r="E128" s="13"/>
      <c r="F128" s="13"/>
      <c r="G128" s="13"/>
      <c r="H128" s="18">
        <v>-2511.1</v>
      </c>
      <c r="I128" s="18">
        <v>-2833.8</v>
      </c>
      <c r="J128" s="18">
        <v>-4006.8</v>
      </c>
      <c r="K128" s="18">
        <v>-3969</v>
      </c>
      <c r="L128" s="18">
        <v>-2733.9</v>
      </c>
      <c r="M128" s="13">
        <v>-4069.4</v>
      </c>
      <c r="N128" s="13">
        <v>-5040.2</v>
      </c>
      <c r="O128" s="13"/>
      <c r="P128" s="13"/>
      <c r="Q128" s="13"/>
    </row>
    <row r="129" spans="1:17" ht="14.4" x14ac:dyDescent="0.3">
      <c r="A129" s="13"/>
      <c r="B129" s="13"/>
      <c r="C129" s="13"/>
      <c r="D129" s="21" t="s">
        <v>119</v>
      </c>
      <c r="E129" s="22"/>
      <c r="F129" s="22"/>
      <c r="G129" s="22"/>
      <c r="H129" s="21">
        <v>7796.5</v>
      </c>
      <c r="I129" s="21">
        <v>5850.8</v>
      </c>
      <c r="J129" s="21">
        <v>12649</v>
      </c>
      <c r="K129" s="21">
        <v>11110.2</v>
      </c>
      <c r="L129" s="21">
        <v>16825</v>
      </c>
      <c r="M129" s="21">
        <v>19480.7</v>
      </c>
      <c r="N129" s="21">
        <v>19128.400000000001</v>
      </c>
      <c r="O129" s="13"/>
      <c r="P129" s="13"/>
      <c r="Q129" s="13"/>
    </row>
    <row r="130" spans="1:17" ht="14.4" x14ac:dyDescent="0.3">
      <c r="A130" s="13"/>
      <c r="B130" s="13"/>
      <c r="C130" s="13"/>
      <c r="D130" s="18" t="s">
        <v>120</v>
      </c>
      <c r="E130" s="13"/>
      <c r="F130" s="13"/>
      <c r="G130" s="13"/>
      <c r="H130" s="18"/>
      <c r="I130" s="18"/>
      <c r="J130" s="18"/>
      <c r="K130" s="18"/>
      <c r="L130" s="13"/>
      <c r="M130" s="13"/>
      <c r="N130" s="13"/>
      <c r="O130" s="13"/>
      <c r="P130" s="13"/>
      <c r="Q130" s="13"/>
    </row>
    <row r="131" spans="1:17" ht="14.4" x14ac:dyDescent="0.3">
      <c r="A131" s="13"/>
      <c r="B131" s="13"/>
      <c r="C131" s="13"/>
      <c r="D131" s="18" t="s">
        <v>121</v>
      </c>
      <c r="E131" s="13"/>
      <c r="F131" s="13"/>
      <c r="G131" s="13"/>
      <c r="H131" s="18">
        <v>-5291.6</v>
      </c>
      <c r="I131" s="18">
        <v>-3630.9</v>
      </c>
      <c r="J131" s="18">
        <v>-1949.1</v>
      </c>
      <c r="K131" s="18">
        <v>-3388.8</v>
      </c>
      <c r="L131" s="18">
        <v>-2329.1</v>
      </c>
      <c r="M131" s="13">
        <v>-2592.9</v>
      </c>
      <c r="N131" s="13">
        <v>-6756.2</v>
      </c>
      <c r="O131" s="13"/>
      <c r="P131" s="13"/>
    </row>
    <row r="132" spans="1:17" ht="14.4" x14ac:dyDescent="0.3">
      <c r="A132" s="13"/>
      <c r="B132" s="13"/>
      <c r="C132" s="13"/>
      <c r="D132" s="18" t="s">
        <v>122</v>
      </c>
      <c r="E132" s="13"/>
      <c r="F132" s="13"/>
      <c r="G132" s="13"/>
      <c r="H132" s="18">
        <v>22.3</v>
      </c>
      <c r="I132" s="18">
        <v>154.5</v>
      </c>
      <c r="J132" s="18">
        <v>104.6</v>
      </c>
      <c r="K132" s="18">
        <v>109</v>
      </c>
      <c r="L132" s="13">
        <v>32</v>
      </c>
      <c r="M132" s="13">
        <v>724.8</v>
      </c>
      <c r="N132" s="13">
        <v>408.4</v>
      </c>
      <c r="O132" s="13"/>
      <c r="P132" s="13"/>
    </row>
    <row r="133" spans="1:17" ht="14.4" x14ac:dyDescent="0.3">
      <c r="A133" s="13"/>
      <c r="B133" s="13"/>
      <c r="C133" s="13"/>
      <c r="D133" s="18" t="s">
        <v>123</v>
      </c>
      <c r="E133" s="13"/>
      <c r="F133" s="13"/>
      <c r="G133" s="13"/>
      <c r="H133" s="18">
        <v>1244.8</v>
      </c>
      <c r="I133" s="18">
        <v>482.7</v>
      </c>
      <c r="J133" s="18">
        <v>-348.3</v>
      </c>
      <c r="K133" s="18">
        <v>-409.3</v>
      </c>
      <c r="L133" s="18">
        <v>-2175.3000000000002</v>
      </c>
      <c r="M133" s="13">
        <v>1605.3999999999999</v>
      </c>
      <c r="N133" s="13">
        <v>-13094.4</v>
      </c>
      <c r="O133" s="13"/>
      <c r="P133" s="13"/>
    </row>
    <row r="134" spans="1:17" ht="14.4" x14ac:dyDescent="0.3">
      <c r="A134" s="13"/>
      <c r="B134" s="13"/>
      <c r="C134" s="13"/>
      <c r="D134" s="18" t="s">
        <v>124</v>
      </c>
      <c r="E134" s="13"/>
      <c r="F134" s="13"/>
      <c r="G134" s="13"/>
      <c r="H134" s="18">
        <v>-10.1</v>
      </c>
      <c r="I134" s="18">
        <v>-25.2</v>
      </c>
      <c r="J134" s="18"/>
      <c r="K134" s="18"/>
      <c r="L134" s="18"/>
      <c r="M134" s="13">
        <v>-36258.800000000003</v>
      </c>
      <c r="N134" s="13">
        <v>-37558.400000000001</v>
      </c>
      <c r="O134" s="13"/>
      <c r="P134" s="13"/>
    </row>
    <row r="135" spans="1:17" ht="14.4" x14ac:dyDescent="0.3">
      <c r="A135" s="13"/>
      <c r="B135" s="13"/>
      <c r="C135" s="13"/>
      <c r="D135" s="18" t="s">
        <v>102</v>
      </c>
      <c r="E135" s="13"/>
      <c r="F135" s="13"/>
      <c r="G135" s="13"/>
      <c r="H135" s="18"/>
      <c r="I135" s="18"/>
      <c r="J135" s="18">
        <v>351</v>
      </c>
      <c r="K135" s="18"/>
      <c r="L135" s="18"/>
      <c r="M135" s="13"/>
      <c r="N135" s="13"/>
      <c r="O135" s="13"/>
      <c r="P135" s="13"/>
    </row>
    <row r="136" spans="1:17" ht="14.4" x14ac:dyDescent="0.3">
      <c r="A136" s="13"/>
      <c r="B136" s="13"/>
      <c r="C136" s="13"/>
      <c r="D136" s="18" t="s">
        <v>125</v>
      </c>
      <c r="E136" s="13"/>
      <c r="F136" s="13"/>
      <c r="G136" s="13"/>
      <c r="H136" s="18">
        <v>427.5</v>
      </c>
      <c r="I136" s="18">
        <v>-4911.3999999999996</v>
      </c>
      <c r="J136" s="18">
        <v>-8937.9</v>
      </c>
      <c r="K136" s="18">
        <v>-11641.8</v>
      </c>
      <c r="L136" s="18">
        <v>4129.8</v>
      </c>
      <c r="M136" s="13">
        <v>24041.8</v>
      </c>
      <c r="N136" s="13">
        <v>40534.199999999997</v>
      </c>
      <c r="O136" s="13"/>
      <c r="P136" s="13"/>
    </row>
    <row r="137" spans="1:17" ht="14.4" x14ac:dyDescent="0.3">
      <c r="A137" s="13"/>
      <c r="B137" s="13"/>
      <c r="C137" s="13"/>
      <c r="D137" s="13" t="s">
        <v>126</v>
      </c>
      <c r="E137" s="13"/>
      <c r="F137" s="13"/>
      <c r="G137" s="13"/>
      <c r="H137" s="13">
        <v>1.2</v>
      </c>
      <c r="I137" s="13">
        <v>1.1000000000000001</v>
      </c>
      <c r="J137" s="13">
        <v>0.2</v>
      </c>
      <c r="K137" s="13">
        <v>1.9</v>
      </c>
      <c r="L137" s="13">
        <v>1.9</v>
      </c>
      <c r="M137" s="13">
        <v>1.9</v>
      </c>
      <c r="N137" s="13">
        <v>1.7</v>
      </c>
      <c r="O137" s="13"/>
      <c r="P137" s="13"/>
    </row>
    <row r="138" spans="1:17" ht="14.4" x14ac:dyDescent="0.3">
      <c r="A138" s="13"/>
      <c r="B138" s="13"/>
      <c r="C138" s="13"/>
      <c r="D138" s="18" t="s">
        <v>127</v>
      </c>
      <c r="E138" s="13"/>
      <c r="F138" s="13"/>
      <c r="G138" s="13"/>
      <c r="H138" s="18">
        <v>436.7</v>
      </c>
      <c r="I138" s="18">
        <v>509.2</v>
      </c>
      <c r="J138" s="18">
        <v>785.7</v>
      </c>
      <c r="K138" s="18">
        <v>977.7</v>
      </c>
      <c r="L138" s="18">
        <v>1469.1</v>
      </c>
      <c r="M138" s="13">
        <v>2392.8000000000002</v>
      </c>
      <c r="N138" s="13">
        <v>3477.1</v>
      </c>
      <c r="O138" s="13"/>
      <c r="P138" s="13"/>
      <c r="Q138" s="13"/>
    </row>
    <row r="139" spans="1:17" ht="14.4" x14ac:dyDescent="0.3">
      <c r="A139" s="13"/>
      <c r="B139" s="13"/>
      <c r="C139" s="13"/>
      <c r="D139" s="18" t="s">
        <v>128</v>
      </c>
      <c r="E139" s="13"/>
      <c r="F139" s="13"/>
      <c r="G139" s="13"/>
      <c r="H139" s="18">
        <v>5.3</v>
      </c>
      <c r="I139" s="18">
        <v>6.5</v>
      </c>
      <c r="J139" s="18">
        <v>8.4</v>
      </c>
      <c r="K139" s="18"/>
      <c r="L139" s="18"/>
      <c r="M139" s="13"/>
      <c r="N139" s="13"/>
      <c r="O139" s="13"/>
      <c r="P139" s="13"/>
      <c r="Q139" s="13"/>
    </row>
    <row r="140" spans="1:17" ht="14.4" x14ac:dyDescent="0.3">
      <c r="A140" s="13"/>
      <c r="B140" s="13"/>
      <c r="C140" s="13"/>
      <c r="D140" s="21" t="s">
        <v>129</v>
      </c>
      <c r="E140" s="22"/>
      <c r="F140" s="22"/>
      <c r="G140" s="22"/>
      <c r="H140" s="21">
        <v>-3163.9</v>
      </c>
      <c r="I140" s="21">
        <v>-7413.5</v>
      </c>
      <c r="J140" s="21">
        <v>-9985.4</v>
      </c>
      <c r="K140" s="21">
        <v>-14351.3</v>
      </c>
      <c r="L140" s="21">
        <v>1128.4000000000001</v>
      </c>
      <c r="M140" s="21">
        <v>-10085</v>
      </c>
      <c r="N140" s="21">
        <v>-12987.6</v>
      </c>
      <c r="O140" s="13"/>
      <c r="P140" s="13"/>
      <c r="Q140" s="13"/>
    </row>
    <row r="141" spans="1:17" ht="14.4" x14ac:dyDescent="0.3">
      <c r="A141" s="13"/>
      <c r="B141" s="13"/>
      <c r="C141" s="13"/>
      <c r="D141" s="18" t="s">
        <v>130</v>
      </c>
      <c r="E141" s="13"/>
      <c r="F141" s="13"/>
      <c r="G141" s="13"/>
      <c r="H141" s="18"/>
      <c r="I141" s="18"/>
      <c r="J141" s="18"/>
      <c r="K141" s="18"/>
      <c r="L141" s="13"/>
      <c r="M141" s="13"/>
      <c r="N141" s="13"/>
      <c r="O141" s="13"/>
      <c r="P141" s="13"/>
      <c r="Q141" s="13"/>
    </row>
    <row r="142" spans="1:17" ht="14.4" x14ac:dyDescent="0.3">
      <c r="A142" s="13"/>
      <c r="B142" s="13"/>
      <c r="C142" s="13"/>
      <c r="D142" s="13" t="s">
        <v>131</v>
      </c>
      <c r="E142" s="13"/>
      <c r="F142" s="13"/>
      <c r="G142" s="13"/>
      <c r="H142" s="13">
        <v>-70.599999999999994</v>
      </c>
      <c r="I142" s="13">
        <v>-1810.5</v>
      </c>
      <c r="J142" s="13">
        <v>-387.4</v>
      </c>
      <c r="K142" s="13">
        <v>-192.9</v>
      </c>
      <c r="L142" s="13">
        <v>-95</v>
      </c>
      <c r="M142" s="13">
        <v>-5208.8999999999996</v>
      </c>
      <c r="N142" s="13">
        <v>-4820.1000000000004</v>
      </c>
      <c r="O142" s="13"/>
      <c r="P142" s="13"/>
      <c r="Q142" s="13"/>
    </row>
    <row r="143" spans="1:17" ht="14.4" x14ac:dyDescent="0.3">
      <c r="A143" s="13"/>
      <c r="B143" s="13"/>
      <c r="C143" s="13"/>
      <c r="D143" s="18" t="s">
        <v>132</v>
      </c>
      <c r="E143" s="13"/>
      <c r="F143" s="13"/>
      <c r="G143" s="13"/>
      <c r="H143" s="18">
        <v>-986.7</v>
      </c>
      <c r="I143" s="18">
        <v>7841.2</v>
      </c>
      <c r="J143" s="18">
        <v>1784.2</v>
      </c>
      <c r="K143" s="18">
        <v>8820.7000000000007</v>
      </c>
      <c r="L143" s="18">
        <v>-12689.8</v>
      </c>
      <c r="M143" s="13">
        <v>400</v>
      </c>
      <c r="N143" s="13">
        <v>2879</v>
      </c>
      <c r="O143" s="13"/>
      <c r="P143" s="13"/>
      <c r="Q143" s="13"/>
    </row>
    <row r="144" spans="1:17" ht="14.4" x14ac:dyDescent="0.3">
      <c r="A144" s="13"/>
      <c r="B144" s="13"/>
      <c r="C144" s="13"/>
      <c r="D144" s="18" t="s">
        <v>133</v>
      </c>
      <c r="E144" s="13"/>
      <c r="F144" s="13"/>
      <c r="G144" s="13"/>
      <c r="H144" s="18"/>
      <c r="I144" s="18"/>
      <c r="J144" s="18"/>
      <c r="K144" s="18"/>
      <c r="L144" s="18">
        <v>1614.8</v>
      </c>
      <c r="M144" s="13"/>
      <c r="N144" s="13"/>
    </row>
    <row r="145" spans="1:19" ht="14.4" x14ac:dyDescent="0.3">
      <c r="A145" s="13"/>
      <c r="B145" s="13"/>
      <c r="C145" s="13"/>
      <c r="D145" s="18" t="s">
        <v>134</v>
      </c>
      <c r="E145" s="13"/>
      <c r="F145" s="13"/>
      <c r="G145" s="13"/>
      <c r="H145" s="18">
        <v>-2185.8000000000002</v>
      </c>
      <c r="I145" s="18">
        <v>-4395.6000000000004</v>
      </c>
      <c r="J145" s="18">
        <v>-3347.8</v>
      </c>
      <c r="K145" s="18">
        <v>-4219.1000000000004</v>
      </c>
      <c r="L145" s="18">
        <v>-5295.2</v>
      </c>
      <c r="M145" s="13">
        <v>-5404.9</v>
      </c>
      <c r="N145" s="13">
        <v>-5046.2</v>
      </c>
      <c r="O145" s="13"/>
      <c r="P145" s="13"/>
      <c r="Q145" s="13"/>
    </row>
    <row r="146" spans="1:19" ht="14.4" x14ac:dyDescent="0.3">
      <c r="A146" s="13"/>
      <c r="B146" s="13"/>
      <c r="C146" s="13"/>
      <c r="D146" s="13" t="s">
        <v>135</v>
      </c>
      <c r="E146" s="13"/>
      <c r="F146" s="13"/>
      <c r="G146" s="13"/>
      <c r="H146" s="13">
        <v>0</v>
      </c>
      <c r="I146" s="13">
        <v>-193</v>
      </c>
      <c r="J146" s="13">
        <v>-230.3</v>
      </c>
      <c r="K146" s="13">
        <v>-211.7</v>
      </c>
      <c r="L146" s="13">
        <v>-238.4</v>
      </c>
      <c r="M146" s="13">
        <v>-323.2</v>
      </c>
      <c r="N146" s="13">
        <v>-316.5</v>
      </c>
      <c r="O146" s="13"/>
      <c r="P146" s="13"/>
      <c r="Q146" s="13"/>
    </row>
    <row r="147" spans="1:19" ht="14.4" x14ac:dyDescent="0.3">
      <c r="A147" s="13"/>
      <c r="B147" s="13"/>
      <c r="C147" s="13"/>
      <c r="D147" s="13" t="s">
        <v>136</v>
      </c>
      <c r="E147" s="13"/>
      <c r="F147" s="13"/>
      <c r="G147" s="13"/>
      <c r="H147" s="13">
        <v>-546.29999999999995</v>
      </c>
      <c r="I147" s="13">
        <v>-650.6</v>
      </c>
      <c r="J147" s="13">
        <v>-536.20000000000005</v>
      </c>
      <c r="K147" s="13">
        <v>-401.3</v>
      </c>
      <c r="L147" s="13">
        <v>-904.6</v>
      </c>
      <c r="M147" s="13">
        <v>-913.1</v>
      </c>
      <c r="N147" s="13">
        <v>-806.1</v>
      </c>
      <c r="O147" s="13"/>
      <c r="P147" s="13"/>
      <c r="Q147" s="13"/>
    </row>
    <row r="148" spans="1:19" ht="14.4" x14ac:dyDescent="0.3">
      <c r="A148" s="13"/>
      <c r="B148" s="13"/>
      <c r="C148" s="13"/>
      <c r="D148" s="21" t="s">
        <v>137</v>
      </c>
      <c r="E148" s="22"/>
      <c r="F148" s="22"/>
      <c r="G148" s="22"/>
      <c r="H148" s="21">
        <v>-3789.4</v>
      </c>
      <c r="I148" s="21">
        <v>791.5</v>
      </c>
      <c r="J148" s="21">
        <v>2717.5</v>
      </c>
      <c r="K148" s="21">
        <v>3795.7</v>
      </c>
      <c r="L148" s="21">
        <v>-17608.2</v>
      </c>
      <c r="M148" s="21">
        <v>-11450.1</v>
      </c>
      <c r="N148" s="21">
        <v>-8109.9</v>
      </c>
      <c r="O148" s="13"/>
      <c r="P148" s="13"/>
      <c r="Q148" s="13"/>
    </row>
    <row r="149" spans="1:19" ht="14.4" x14ac:dyDescent="0.3">
      <c r="A149" s="13"/>
      <c r="B149" s="13"/>
      <c r="C149" s="13"/>
      <c r="D149" s="13" t="s">
        <v>138</v>
      </c>
      <c r="E149" s="13"/>
      <c r="F149" s="13"/>
      <c r="G149" s="13"/>
      <c r="H149" s="13">
        <v>843.2</v>
      </c>
      <c r="I149" s="13">
        <v>-771.2</v>
      </c>
      <c r="J149" s="13">
        <v>-53.9</v>
      </c>
      <c r="K149" s="13">
        <v>554.6</v>
      </c>
      <c r="L149" s="13">
        <v>345.2</v>
      </c>
      <c r="M149" s="13">
        <v>-2054.4</v>
      </c>
      <c r="N149" s="13">
        <v>-1969.1</v>
      </c>
      <c r="O149" s="13"/>
      <c r="P149" s="13"/>
      <c r="Q149" s="13"/>
    </row>
    <row r="150" spans="1:19" ht="14.4" x14ac:dyDescent="0.3">
      <c r="A150" s="13"/>
      <c r="B150" s="13"/>
      <c r="C150" s="13"/>
      <c r="D150" s="19" t="s">
        <v>139</v>
      </c>
      <c r="E150" s="13"/>
      <c r="F150" s="13"/>
      <c r="G150" s="13"/>
      <c r="H150" s="19">
        <v>1667.1</v>
      </c>
      <c r="I150" s="19">
        <v>2490.5</v>
      </c>
      <c r="J150" s="19">
        <v>1759.4</v>
      </c>
      <c r="K150" s="19">
        <v>1742.2</v>
      </c>
      <c r="L150" s="19">
        <v>2321.8000000000002</v>
      </c>
      <c r="M150" s="14">
        <v>2738</v>
      </c>
      <c r="N150" s="14">
        <v>663.1</v>
      </c>
      <c r="O150" s="13"/>
      <c r="P150" s="13"/>
      <c r="Q150" s="13"/>
    </row>
    <row r="151" spans="1:19" ht="14.4" x14ac:dyDescent="0.3">
      <c r="A151" s="13"/>
      <c r="B151" s="13"/>
      <c r="C151" s="13"/>
      <c r="D151" s="14" t="s">
        <v>140</v>
      </c>
      <c r="E151" s="13"/>
      <c r="F151" s="13"/>
      <c r="G151" s="13"/>
      <c r="H151" s="14">
        <v>-19.8</v>
      </c>
      <c r="I151" s="14">
        <v>40.1</v>
      </c>
      <c r="J151" s="14">
        <v>36.700000000000003</v>
      </c>
      <c r="K151" s="14">
        <v>25</v>
      </c>
      <c r="L151" s="14">
        <v>71</v>
      </c>
      <c r="M151" s="14">
        <v>-20.5</v>
      </c>
      <c r="N151" s="14">
        <v>105.1</v>
      </c>
      <c r="O151" s="13"/>
      <c r="P151" s="13"/>
      <c r="Q151" s="13"/>
    </row>
    <row r="152" spans="1:19" ht="14.4" x14ac:dyDescent="0.3">
      <c r="A152" s="13"/>
      <c r="B152" s="13"/>
      <c r="C152" s="13"/>
      <c r="D152" s="19" t="s">
        <v>141</v>
      </c>
      <c r="E152" s="13"/>
      <c r="F152" s="13"/>
      <c r="G152" s="13"/>
      <c r="H152" s="19">
        <v>2490.5</v>
      </c>
      <c r="I152" s="19">
        <v>1759.4</v>
      </c>
      <c r="J152" s="19">
        <v>1742.2</v>
      </c>
      <c r="K152" s="19">
        <v>2321.8000000000002</v>
      </c>
      <c r="L152" s="19">
        <v>2738</v>
      </c>
      <c r="M152" s="14">
        <v>663.1</v>
      </c>
      <c r="N152" s="14">
        <v>-1200.9000000000001</v>
      </c>
      <c r="O152" s="13"/>
      <c r="P152" s="13"/>
      <c r="Q152" s="13"/>
    </row>
    <row r="153" spans="1:19" ht="14.4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 spans="1:19" ht="14.4" x14ac:dyDescent="0.3">
      <c r="A154" s="11" t="s">
        <v>142</v>
      </c>
      <c r="B154" s="12"/>
      <c r="C154" s="12"/>
      <c r="D154" s="12"/>
      <c r="E154" s="12"/>
      <c r="F154" s="12"/>
      <c r="G154" s="12"/>
      <c r="H154" s="12"/>
      <c r="I154" s="11">
        <v>2019</v>
      </c>
      <c r="J154" s="11">
        <v>2020</v>
      </c>
      <c r="K154" s="11">
        <v>2021</v>
      </c>
      <c r="L154" s="11">
        <v>2022</v>
      </c>
      <c r="M154" s="11">
        <v>2023</v>
      </c>
      <c r="N154" s="25" t="s">
        <v>257</v>
      </c>
      <c r="O154" s="26" t="s">
        <v>256</v>
      </c>
      <c r="P154" s="13"/>
      <c r="Q154" s="13"/>
    </row>
    <row r="155" spans="1:19" ht="14.4" x14ac:dyDescent="0.3">
      <c r="A155" s="13"/>
      <c r="B155" s="13"/>
      <c r="C155" s="13"/>
      <c r="D155" s="10" t="s">
        <v>143</v>
      </c>
      <c r="E155" s="10"/>
      <c r="F155" s="10"/>
      <c r="G155" s="13"/>
      <c r="H155" s="13"/>
      <c r="I155" s="13"/>
      <c r="J155" s="13"/>
      <c r="K155" s="10">
        <v>58208.6</v>
      </c>
      <c r="L155" s="10">
        <v>75266.400000000009</v>
      </c>
      <c r="M155" s="10">
        <v>81599.7</v>
      </c>
      <c r="N155" s="80">
        <f>_xlfn.RRI(2,K155,M155)</f>
        <v>0.18399727823875112</v>
      </c>
      <c r="O155" s="81">
        <f>M155*(1+N155)</f>
        <v>96613.822705098617</v>
      </c>
      <c r="P155" s="13"/>
      <c r="Q155" s="13"/>
    </row>
    <row r="156" spans="1:19" ht="14.4" x14ac:dyDescent="0.3">
      <c r="A156" s="13"/>
      <c r="B156" s="13"/>
      <c r="C156" s="13"/>
      <c r="D156" s="10" t="s">
        <v>144</v>
      </c>
      <c r="E156" s="10"/>
      <c r="F156" s="10"/>
      <c r="G156" s="13"/>
      <c r="H156" s="13"/>
      <c r="I156" s="13"/>
      <c r="J156" s="13"/>
      <c r="K156" s="10">
        <v>24665.5</v>
      </c>
      <c r="L156" s="10">
        <v>23290.7</v>
      </c>
      <c r="M156" s="10">
        <v>25133.5</v>
      </c>
      <c r="N156" s="27">
        <f t="shared" ref="N156:N157" si="1">_xlfn.RRI(2,K156,M156)</f>
        <v>9.4423561480674323E-3</v>
      </c>
      <c r="O156" s="28">
        <f>M156*(1+N156)</f>
        <v>25370.819458247453</v>
      </c>
      <c r="P156" s="13"/>
      <c r="Q156" s="13"/>
    </row>
    <row r="157" spans="1:19" ht="14.4" x14ac:dyDescent="0.3">
      <c r="A157" s="13"/>
      <c r="B157" s="13"/>
      <c r="C157" s="13"/>
      <c r="D157" s="10" t="s">
        <v>145</v>
      </c>
      <c r="E157" s="10"/>
      <c r="F157" s="10"/>
      <c r="G157" s="13"/>
      <c r="H157" s="13"/>
      <c r="I157" s="13"/>
      <c r="J157" s="13"/>
      <c r="K157" s="10">
        <v>5776</v>
      </c>
      <c r="L157" s="10">
        <v>7784.8</v>
      </c>
      <c r="M157" s="10">
        <v>9259.4000000000015</v>
      </c>
      <c r="N157" s="27">
        <f t="shared" si="1"/>
        <v>0.26612863384867969</v>
      </c>
      <c r="O157" s="28">
        <f>M157*(1+N157)</f>
        <v>11723.591472258466</v>
      </c>
      <c r="P157" s="13"/>
      <c r="Q157" s="13"/>
    </row>
    <row r="158" spans="1:19" ht="15" thickBot="1" x14ac:dyDescent="0.35">
      <c r="A158" s="13"/>
      <c r="B158" s="13"/>
      <c r="C158" s="13"/>
      <c r="D158" s="10"/>
      <c r="E158" s="10"/>
      <c r="F158" s="10"/>
      <c r="G158" s="13"/>
      <c r="H158" s="13"/>
      <c r="I158" s="23"/>
      <c r="J158" s="23"/>
      <c r="K158" s="23">
        <f>SUM(K155:K157)</f>
        <v>88650.1</v>
      </c>
      <c r="L158" s="23">
        <f>SUM(L155:L157)</f>
        <v>106341.90000000001</v>
      </c>
      <c r="M158" s="23">
        <f>SUM(M155:M157)</f>
        <v>115992.6</v>
      </c>
      <c r="N158" s="29"/>
      <c r="O158" s="23">
        <f>SUM(O155:O157)</f>
        <v>133708.23363560453</v>
      </c>
      <c r="P158" s="13"/>
      <c r="Q158" s="13"/>
    </row>
    <row r="159" spans="1:19" ht="15" thickTop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 spans="1:19" ht="14.4" x14ac:dyDescent="0.3">
      <c r="A160" s="11" t="s">
        <v>146</v>
      </c>
      <c r="B160" s="12"/>
      <c r="C160" s="12"/>
      <c r="D160" s="12"/>
      <c r="E160" s="12"/>
      <c r="F160" s="12"/>
      <c r="G160" s="12"/>
      <c r="H160" s="24">
        <v>44469</v>
      </c>
      <c r="I160" s="24">
        <v>44561</v>
      </c>
      <c r="J160" s="24">
        <v>44651</v>
      </c>
      <c r="K160" s="24">
        <v>44742</v>
      </c>
      <c r="L160" s="24">
        <v>44834</v>
      </c>
      <c r="M160" s="24">
        <v>44926</v>
      </c>
      <c r="N160" s="24">
        <v>45016</v>
      </c>
      <c r="O160" s="24">
        <v>45107</v>
      </c>
      <c r="P160" s="24">
        <v>45199</v>
      </c>
      <c r="Q160" s="24">
        <v>45291</v>
      </c>
      <c r="R160" s="78" t="s">
        <v>255</v>
      </c>
      <c r="S160" s="78" t="s">
        <v>256</v>
      </c>
    </row>
    <row r="161" spans="1:19" ht="14.4" x14ac:dyDescent="0.3">
      <c r="A161" s="13"/>
      <c r="B161" s="13"/>
      <c r="C161" s="13"/>
      <c r="D161" s="13" t="s">
        <v>147</v>
      </c>
      <c r="E161" s="13"/>
      <c r="F161" s="13"/>
      <c r="G161" s="13"/>
      <c r="H161" s="10">
        <v>27999.899999999998</v>
      </c>
      <c r="I161" s="10">
        <v>26189.8</v>
      </c>
      <c r="J161" s="10">
        <v>24838.600000000002</v>
      </c>
      <c r="K161" s="10">
        <v>25763.800000000003</v>
      </c>
      <c r="L161" s="10">
        <v>30793.699999999997</v>
      </c>
      <c r="M161" s="10">
        <v>30409.1</v>
      </c>
      <c r="N161" s="10">
        <v>29026</v>
      </c>
      <c r="O161" s="10">
        <v>29677.199999999997</v>
      </c>
      <c r="P161" s="10">
        <v>34401.699999999997</v>
      </c>
      <c r="Q161" s="10">
        <v>33238.699999999997</v>
      </c>
      <c r="R161" s="79">
        <f>N161*(1+R162)</f>
        <v>32529.566023643576</v>
      </c>
      <c r="S161" s="79">
        <f>SUM(O161:R161)</f>
        <v>129847.16602364357</v>
      </c>
    </row>
    <row r="162" spans="1:19" ht="14.4" x14ac:dyDescent="0.3">
      <c r="A162" s="13"/>
      <c r="B162" s="13"/>
      <c r="C162" s="13"/>
      <c r="D162" s="13" t="s">
        <v>254</v>
      </c>
      <c r="E162" s="13"/>
      <c r="F162" s="13"/>
      <c r="G162" s="13"/>
      <c r="H162" s="10"/>
      <c r="I162" s="10"/>
      <c r="J162" s="10"/>
      <c r="K162" s="10"/>
      <c r="L162" s="10"/>
      <c r="M162" s="10"/>
      <c r="N162" s="10"/>
      <c r="O162" s="77">
        <f>O161/K161-1</f>
        <v>0.15189529494872622</v>
      </c>
      <c r="P162" s="77">
        <f>P161/L161-1</f>
        <v>0.11716682308394244</v>
      </c>
      <c r="Q162" s="77">
        <f>Q161/M161-1</f>
        <v>9.3051093258267992E-2</v>
      </c>
      <c r="R162" s="9">
        <f>AVERAGE(O162:Q162)</f>
        <v>0.12070440376364555</v>
      </c>
    </row>
    <row r="163" spans="1:19" ht="14.4" x14ac:dyDescent="0.3">
      <c r="A163" s="13"/>
      <c r="B163" s="13"/>
      <c r="C163" s="13"/>
      <c r="D163" s="13" t="s">
        <v>9</v>
      </c>
      <c r="E163" s="13"/>
      <c r="F163" s="13"/>
      <c r="G163" s="13"/>
      <c r="H163" s="10">
        <v>21756.100000000002</v>
      </c>
      <c r="I163" s="10">
        <v>21205.300000000003</v>
      </c>
      <c r="J163" s="10">
        <v>21466.300000000003</v>
      </c>
      <c r="K163" s="10">
        <v>23731.399999999998</v>
      </c>
      <c r="L163" s="10">
        <v>26254.6</v>
      </c>
      <c r="M163" s="10">
        <v>24418.600000000002</v>
      </c>
      <c r="N163" s="10">
        <v>25493.5</v>
      </c>
      <c r="O163" s="10">
        <v>25785.300000000003</v>
      </c>
      <c r="P163" s="10">
        <v>26934.400000000001</v>
      </c>
      <c r="Q163" s="10">
        <v>26162.800000000003</v>
      </c>
    </row>
    <row r="164" spans="1:19" ht="14.4" x14ac:dyDescent="0.3">
      <c r="A164" s="13"/>
      <c r="B164" s="13"/>
      <c r="C164" s="13"/>
      <c r="D164" s="13" t="s">
        <v>148</v>
      </c>
      <c r="E164" s="13"/>
      <c r="F164" s="13"/>
      <c r="G164" s="13"/>
      <c r="H164" s="10">
        <v>6243.8</v>
      </c>
      <c r="I164" s="10">
        <v>4984.5</v>
      </c>
      <c r="J164" s="10">
        <v>3372.3</v>
      </c>
      <c r="K164" s="10">
        <v>2032.4</v>
      </c>
      <c r="L164" s="10">
        <v>4539.1000000000004</v>
      </c>
      <c r="M164" s="10">
        <v>5990.5</v>
      </c>
      <c r="N164" s="10">
        <v>3532.5</v>
      </c>
      <c r="O164" s="10">
        <v>3891.9</v>
      </c>
      <c r="P164" s="10">
        <v>7467.3</v>
      </c>
      <c r="Q164" s="10">
        <v>7075.9000000000005</v>
      </c>
    </row>
    <row r="165" spans="1:19" ht="14.4" x14ac:dyDescent="0.3">
      <c r="A165" s="13"/>
      <c r="B165" s="13"/>
      <c r="C165" s="13"/>
      <c r="D165" s="13" t="s">
        <v>149</v>
      </c>
      <c r="E165" s="13"/>
      <c r="F165" s="13"/>
      <c r="G165" s="13"/>
      <c r="H165" s="10">
        <v>419.6</v>
      </c>
      <c r="I165" s="10">
        <v>535.20000000000005</v>
      </c>
      <c r="J165" s="10">
        <v>55.599999999999994</v>
      </c>
      <c r="K165" s="10">
        <v>514.09999999999991</v>
      </c>
      <c r="L165" s="10">
        <v>506.70000000000005</v>
      </c>
      <c r="M165" s="10">
        <v>453.29999999999995</v>
      </c>
      <c r="N165" s="10">
        <v>-343.1</v>
      </c>
      <c r="O165" s="10">
        <v>658.40000000000009</v>
      </c>
      <c r="P165" s="10">
        <v>55.300000000000004</v>
      </c>
      <c r="Q165" s="10">
        <v>423.29999999999995</v>
      </c>
    </row>
    <row r="166" spans="1:19" ht="14.4" x14ac:dyDescent="0.3">
      <c r="A166" s="13"/>
      <c r="B166" s="13"/>
      <c r="C166" s="13"/>
      <c r="D166" s="13" t="s">
        <v>150</v>
      </c>
      <c r="E166" s="13"/>
      <c r="F166" s="13"/>
      <c r="G166" s="13"/>
      <c r="H166" s="10">
        <v>728.3</v>
      </c>
      <c r="I166" s="10">
        <v>774.59999999999991</v>
      </c>
      <c r="J166" s="10">
        <v>831.4</v>
      </c>
      <c r="K166" s="10">
        <v>762.6</v>
      </c>
      <c r="L166" s="10">
        <v>774</v>
      </c>
      <c r="M166" s="10">
        <v>784.4</v>
      </c>
      <c r="N166" s="10">
        <v>783.19999999999993</v>
      </c>
      <c r="O166" s="10">
        <v>724.09999999999991</v>
      </c>
      <c r="P166" s="10">
        <v>739</v>
      </c>
      <c r="Q166" s="10">
        <v>695.6</v>
      </c>
    </row>
    <row r="167" spans="1:19" ht="14.4" x14ac:dyDescent="0.3">
      <c r="A167" s="13"/>
      <c r="B167" s="13"/>
      <c r="C167" s="13"/>
      <c r="D167" s="13" t="s">
        <v>29</v>
      </c>
      <c r="E167" s="13"/>
      <c r="F167" s="13"/>
      <c r="G167" s="13"/>
      <c r="H167" s="10">
        <v>119.7</v>
      </c>
      <c r="I167" s="10">
        <v>105.7</v>
      </c>
      <c r="J167" s="10">
        <v>169.7</v>
      </c>
      <c r="K167" s="10">
        <v>265</v>
      </c>
      <c r="L167" s="10">
        <v>248.5</v>
      </c>
      <c r="M167" s="10">
        <v>270.5</v>
      </c>
      <c r="N167" s="10">
        <v>289.60000000000002</v>
      </c>
      <c r="O167" s="10">
        <v>297.7</v>
      </c>
      <c r="P167" s="10">
        <v>303.2</v>
      </c>
      <c r="Q167" s="10">
        <v>254.60000000000002</v>
      </c>
    </row>
    <row r="168" spans="1:19" ht="14.4" x14ac:dyDescent="0.3">
      <c r="A168" s="13"/>
      <c r="B168" s="13"/>
      <c r="C168" s="13"/>
      <c r="D168" s="13" t="s">
        <v>91</v>
      </c>
      <c r="E168" s="13"/>
      <c r="F168" s="13"/>
      <c r="G168" s="13"/>
      <c r="H168" s="10">
        <v>5815.4</v>
      </c>
      <c r="I168" s="10">
        <v>4639.3999999999996</v>
      </c>
      <c r="J168" s="10">
        <v>2426.8000000000002</v>
      </c>
      <c r="K168" s="10">
        <v>1518.8999999999999</v>
      </c>
      <c r="L168" s="10">
        <v>4023.2999999999997</v>
      </c>
      <c r="M168" s="10">
        <v>5388.9</v>
      </c>
      <c r="N168" s="10">
        <v>2116.6</v>
      </c>
      <c r="O168" s="10">
        <v>3528.5</v>
      </c>
      <c r="P168" s="10">
        <v>6480.4</v>
      </c>
      <c r="Q168" s="10">
        <v>6549</v>
      </c>
    </row>
    <row r="169" spans="1:19" ht="14.4" x14ac:dyDescent="0.3">
      <c r="A169" s="13"/>
      <c r="B169" s="13"/>
      <c r="C169" s="13"/>
      <c r="D169" s="13" t="s">
        <v>151</v>
      </c>
      <c r="E169" s="13"/>
      <c r="F169" s="13"/>
      <c r="G169" s="13"/>
      <c r="H169" s="10">
        <v>230.10000000000002</v>
      </c>
      <c r="I169" s="10">
        <v>-694.09999999999991</v>
      </c>
      <c r="J169" s="10">
        <v>1344.7</v>
      </c>
      <c r="K169" s="10">
        <v>204.4</v>
      </c>
      <c r="L169" s="10">
        <v>546.1</v>
      </c>
      <c r="M169" s="10">
        <v>789.30000000000007</v>
      </c>
      <c r="N169" s="10">
        <v>1439.8</v>
      </c>
      <c r="O169" s="10">
        <v>650.40000000000009</v>
      </c>
      <c r="P169" s="10">
        <v>331.5</v>
      </c>
      <c r="Q169" s="10">
        <v>506.2</v>
      </c>
    </row>
    <row r="170" spans="1:19" ht="14.4" x14ac:dyDescent="0.3">
      <c r="A170" s="13"/>
      <c r="B170" s="13"/>
      <c r="C170" s="13"/>
      <c r="D170" s="13" t="s">
        <v>152</v>
      </c>
      <c r="E170" s="13"/>
      <c r="F170" s="13"/>
      <c r="G170" s="13"/>
      <c r="H170" s="10">
        <v>5442.6</v>
      </c>
      <c r="I170" s="10">
        <v>5256.5999999999995</v>
      </c>
      <c r="J170" s="10">
        <v>1075.8</v>
      </c>
      <c r="K170" s="10">
        <v>1276.4000000000001</v>
      </c>
      <c r="L170" s="10">
        <v>3308.3999999999996</v>
      </c>
      <c r="M170" s="10">
        <v>4547.0999999999995</v>
      </c>
      <c r="N170" s="10">
        <v>709.80000000000007</v>
      </c>
      <c r="O170" s="10">
        <v>2867.3</v>
      </c>
      <c r="P170" s="10">
        <v>6205.2</v>
      </c>
      <c r="Q170" s="10">
        <v>5949.6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FC09-7CE2-484E-A73C-0B918FECA5D1}">
  <dimension ref="A1:AC166"/>
  <sheetViews>
    <sheetView showGridLines="0" zoomScale="70" zoomScaleNormal="70" workbookViewId="0">
      <pane xSplit="6" ySplit="3" topLeftCell="G145" activePane="bottomRight" state="frozen"/>
      <selection pane="topRight" activeCell="G1" sqref="G1"/>
      <selection pane="bottomLeft" activeCell="A4" sqref="A4"/>
      <selection pane="bottomRight" activeCell="R153" sqref="R153"/>
    </sheetView>
  </sheetViews>
  <sheetFormatPr defaultColWidth="11.6640625" defaultRowHeight="15.6" x14ac:dyDescent="0.3"/>
  <cols>
    <col min="1" max="1" width="1.21875" style="6" customWidth="1"/>
    <col min="2" max="3" width="1.21875" style="34" customWidth="1"/>
    <col min="4" max="4" width="40.77734375" style="34" customWidth="1"/>
    <col min="5" max="6" width="12.6640625" style="34" customWidth="1"/>
    <col min="7" max="7" width="2.6640625" style="34" customWidth="1"/>
    <col min="8" max="17" width="13.33203125" style="34" customWidth="1"/>
    <col min="18" max="16384" width="11.6640625" style="34"/>
  </cols>
  <sheetData>
    <row r="1" spans="1:29" s="6" customFormat="1" ht="33.6" x14ac:dyDescent="0.65">
      <c r="A1" s="1" t="str">
        <f>Historical!A1</f>
        <v>Alkem Laboratories</v>
      </c>
      <c r="B1" s="1"/>
      <c r="C1" s="1"/>
      <c r="D1" s="1"/>
      <c r="E1" s="1"/>
      <c r="F1" s="1"/>
      <c r="G1" s="1"/>
      <c r="H1" s="171" t="s">
        <v>154</v>
      </c>
      <c r="I1" s="171"/>
      <c r="J1" s="171"/>
      <c r="K1" s="171"/>
      <c r="L1" s="172"/>
      <c r="M1" s="173" t="s">
        <v>155</v>
      </c>
      <c r="N1" s="174"/>
      <c r="O1" s="174"/>
      <c r="P1" s="174"/>
      <c r="Q1" s="174"/>
    </row>
    <row r="2" spans="1:29" s="6" customFormat="1" x14ac:dyDescent="0.3">
      <c r="A2" s="31" t="s">
        <v>153</v>
      </c>
      <c r="B2" s="4"/>
      <c r="C2" s="4"/>
      <c r="D2" s="4"/>
      <c r="E2" s="4"/>
      <c r="F2" s="4"/>
      <c r="G2" s="4"/>
      <c r="H2" s="32">
        <f>Historical!J4</f>
        <v>2021</v>
      </c>
      <c r="I2" s="32">
        <f>Historical!K4</f>
        <v>2022</v>
      </c>
      <c r="J2" s="32">
        <f>Historical!L4</f>
        <v>2023</v>
      </c>
      <c r="K2" s="32">
        <f>J2+1</f>
        <v>2024</v>
      </c>
      <c r="L2" s="32">
        <f t="shared" ref="L2:O2" si="0">K2+1</f>
        <v>2025</v>
      </c>
      <c r="M2" s="33">
        <f t="shared" si="0"/>
        <v>2026</v>
      </c>
      <c r="N2" s="30">
        <f t="shared" si="0"/>
        <v>2027</v>
      </c>
      <c r="O2" s="30">
        <f t="shared" si="0"/>
        <v>2028</v>
      </c>
      <c r="P2" s="30">
        <f t="shared" ref="P2" si="1">O2+1</f>
        <v>2029</v>
      </c>
      <c r="Q2" s="30">
        <f t="shared" ref="Q2" si="2">P2+1</f>
        <v>2030</v>
      </c>
    </row>
    <row r="3" spans="1:29" s="6" customFormat="1" ht="13.8" x14ac:dyDescent="0.3">
      <c r="D3" s="82" t="s">
        <v>198</v>
      </c>
      <c r="E3" s="82"/>
      <c r="F3" s="82"/>
      <c r="G3" s="82"/>
      <c r="H3" s="82" t="str">
        <f t="shared" ref="H3:O3" si="3">IFERROR(IF(ABS(H73)&gt;0,"Error","OK"),"Error")</f>
        <v>OK</v>
      </c>
      <c r="I3" s="82" t="str">
        <f t="shared" si="3"/>
        <v>OK</v>
      </c>
      <c r="J3" s="82" t="str">
        <f t="shared" si="3"/>
        <v>OK</v>
      </c>
      <c r="K3" s="82" t="str">
        <f t="shared" si="3"/>
        <v>OK</v>
      </c>
      <c r="L3" s="82" t="str">
        <f t="shared" si="3"/>
        <v>OK</v>
      </c>
      <c r="M3" s="82" t="str">
        <f t="shared" si="3"/>
        <v>OK</v>
      </c>
      <c r="N3" s="82" t="str">
        <f t="shared" si="3"/>
        <v>OK</v>
      </c>
      <c r="O3" s="82" t="str">
        <f t="shared" si="3"/>
        <v>OK</v>
      </c>
      <c r="P3" s="82" t="str">
        <f t="shared" ref="P3:Q3" si="4">IFERROR(IF(ABS(P73)&gt;0,"Error","OK"),"Error")</f>
        <v>OK</v>
      </c>
      <c r="Q3" s="82" t="str">
        <f t="shared" si="4"/>
        <v>OK</v>
      </c>
    </row>
    <row r="4" spans="1:29" s="6" customFormat="1" ht="13.8" x14ac:dyDescent="0.3"/>
    <row r="5" spans="1:29" s="5" customFormat="1" ht="21" x14ac:dyDescent="0.4">
      <c r="A5" s="3" t="s">
        <v>232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29" s="6" customFormat="1" x14ac:dyDescent="0.3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</row>
    <row r="7" spans="1:29" s="6" customFormat="1" x14ac:dyDescent="0.3">
      <c r="A7" s="34"/>
      <c r="B7" s="34"/>
      <c r="C7" s="34"/>
      <c r="D7" s="73" t="s">
        <v>253</v>
      </c>
      <c r="E7" s="74" t="s">
        <v>250</v>
      </c>
      <c r="F7" s="73" t="s">
        <v>0</v>
      </c>
      <c r="G7" s="76">
        <f>IF(E7=Scenarios!D5,1,IF(Model!E7=Scenarios!D6,2,3))</f>
        <v>1</v>
      </c>
      <c r="H7" s="75"/>
      <c r="I7" s="75"/>
      <c r="J7" s="75"/>
      <c r="K7" s="75"/>
      <c r="L7" s="75"/>
      <c r="M7" s="75"/>
      <c r="N7" s="75"/>
      <c r="O7" s="75"/>
      <c r="P7" s="75"/>
      <c r="Q7" s="75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29" s="6" customFormat="1" x14ac:dyDescent="0.3">
      <c r="A8" s="34"/>
      <c r="B8" s="34"/>
      <c r="C8" s="34"/>
      <c r="D8" s="34" t="s">
        <v>233</v>
      </c>
      <c r="E8" s="34"/>
      <c r="F8" s="34" t="s">
        <v>234</v>
      </c>
      <c r="G8" s="34"/>
      <c r="H8" s="55" t="s">
        <v>30</v>
      </c>
      <c r="I8" s="55">
        <f t="shared" ref="I8:J8" si="5">I25/H25-1</f>
        <v>0.19956886681458896</v>
      </c>
      <c r="J8" s="55">
        <f t="shared" si="5"/>
        <v>9.0751622831640288E-2</v>
      </c>
      <c r="K8" s="55">
        <f t="shared" ref="K8" si="6">K25/J25-1</f>
        <v>9.2102427223805572E-2</v>
      </c>
      <c r="L8" s="55">
        <f t="shared" ref="L8" si="7">L25/K25-1</f>
        <v>2.3440941363701562E-2</v>
      </c>
      <c r="M8" s="55">
        <f t="array" ref="M8:Q8">CHOOSE(G7,Scenarios!H5:L5,Scenarios!H6:L6,Scenarios!H7:L7)</f>
        <v>0.1014659645584341</v>
      </c>
      <c r="N8" s="55">
        <v>8.8275389165837659E-2</v>
      </c>
      <c r="O8" s="55">
        <v>7.6799588574278765E-2</v>
      </c>
      <c r="P8" s="55">
        <v>6.6815642059622524E-2</v>
      </c>
      <c r="Q8" s="55">
        <v>5.8129608591871593E-2</v>
      </c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</row>
    <row r="9" spans="1:29" s="6" customFormat="1" x14ac:dyDescent="0.3">
      <c r="A9" s="34"/>
      <c r="B9" s="34"/>
      <c r="C9" s="34"/>
      <c r="D9" s="34" t="s">
        <v>235</v>
      </c>
      <c r="E9" s="34"/>
      <c r="F9" s="34" t="s">
        <v>234</v>
      </c>
      <c r="G9" s="34"/>
      <c r="H9" s="55">
        <f t="shared" ref="H9:J9" si="8">-H26/H25</f>
        <v>0.39463689268258012</v>
      </c>
      <c r="I9" s="55">
        <f t="shared" si="8"/>
        <v>0.39309905126765649</v>
      </c>
      <c r="J9" s="55">
        <f t="shared" si="8"/>
        <v>0.42303043470014462</v>
      </c>
      <c r="K9" s="58">
        <f t="shared" ref="K9:L9" si="9">-K26/K25</f>
        <v>0.38978084211822622</v>
      </c>
      <c r="L9" s="58">
        <f t="shared" si="9"/>
        <v>0.36748448843458908</v>
      </c>
      <c r="M9" s="58">
        <f t="shared" ref="M9:Q19" si="10">AVERAGE($H9:$L9)</f>
        <v>0.39360634184063936</v>
      </c>
      <c r="N9" s="58">
        <f t="shared" si="10"/>
        <v>0.39360634184063936</v>
      </c>
      <c r="O9" s="58">
        <f t="shared" si="10"/>
        <v>0.39360634184063936</v>
      </c>
      <c r="P9" s="58">
        <f t="shared" si="10"/>
        <v>0.39360634184063936</v>
      </c>
      <c r="Q9" s="58">
        <f t="shared" si="10"/>
        <v>0.39360634184063936</v>
      </c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</row>
    <row r="10" spans="1:29" s="6" customFormat="1" x14ac:dyDescent="0.3">
      <c r="A10" s="34"/>
      <c r="B10" s="34"/>
      <c r="C10" s="34"/>
      <c r="D10" s="34" t="s">
        <v>236</v>
      </c>
      <c r="E10" s="34"/>
      <c r="F10" s="34" t="s">
        <v>234</v>
      </c>
      <c r="G10" s="34"/>
      <c r="H10" s="55">
        <f t="shared" ref="H10:J10" si="11">-H29/H25</f>
        <v>0.18285709773593034</v>
      </c>
      <c r="I10" s="55">
        <f t="shared" si="11"/>
        <v>0.18456600831845207</v>
      </c>
      <c r="J10" s="55">
        <f t="shared" si="11"/>
        <v>0.18374879087114177</v>
      </c>
      <c r="K10" s="58">
        <f t="shared" ref="K10:L10" si="12">-K29/K25</f>
        <v>0.17375141897663168</v>
      </c>
      <c r="L10" s="58">
        <f t="shared" si="12"/>
        <v>0.18927966480826133</v>
      </c>
      <c r="M10" s="58">
        <f t="shared" si="10"/>
        <v>0.18284059614208342</v>
      </c>
      <c r="N10" s="58">
        <f t="shared" si="10"/>
        <v>0.18284059614208342</v>
      </c>
      <c r="O10" s="58">
        <f t="shared" si="10"/>
        <v>0.18284059614208342</v>
      </c>
      <c r="P10" s="58">
        <f t="shared" si="10"/>
        <v>0.18284059614208342</v>
      </c>
      <c r="Q10" s="58">
        <f t="shared" si="10"/>
        <v>0.18284059614208342</v>
      </c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</row>
    <row r="11" spans="1:29" s="6" customFormat="1" x14ac:dyDescent="0.3">
      <c r="A11" s="34"/>
      <c r="B11" s="34"/>
      <c r="C11" s="34"/>
      <c r="D11" s="34" t="s">
        <v>237</v>
      </c>
      <c r="E11" s="34"/>
      <c r="F11" s="34" t="s">
        <v>234</v>
      </c>
      <c r="G11" s="34"/>
      <c r="H11" s="55">
        <f t="shared" ref="H11:J11" si="13">-H30/H25</f>
        <v>0.20339852972529077</v>
      </c>
      <c r="I11" s="55">
        <f t="shared" si="13"/>
        <v>0.22928591646378335</v>
      </c>
      <c r="J11" s="55">
        <f t="shared" si="13"/>
        <v>0.25446623319073802</v>
      </c>
      <c r="K11" s="58">
        <f t="shared" ref="K11:L11" si="14">-K30/K25</f>
        <v>0.25920499416621012</v>
      </c>
      <c r="L11" s="58">
        <f t="shared" si="14"/>
        <v>0.24946469286946221</v>
      </c>
      <c r="M11" s="58">
        <f t="shared" si="10"/>
        <v>0.23916407328309691</v>
      </c>
      <c r="N11" s="58">
        <f t="shared" si="10"/>
        <v>0.23916407328309691</v>
      </c>
      <c r="O11" s="58">
        <f t="shared" si="10"/>
        <v>0.23916407328309691</v>
      </c>
      <c r="P11" s="58">
        <f t="shared" si="10"/>
        <v>0.23916407328309691</v>
      </c>
      <c r="Q11" s="58">
        <f t="shared" si="10"/>
        <v>0.23916407328309691</v>
      </c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</row>
    <row r="12" spans="1:29" s="6" customFormat="1" x14ac:dyDescent="0.3">
      <c r="A12" s="34"/>
      <c r="B12" s="34"/>
      <c r="C12" s="34"/>
      <c r="D12" s="34" t="s">
        <v>238</v>
      </c>
      <c r="E12" s="34"/>
      <c r="F12" s="34" t="s">
        <v>234</v>
      </c>
      <c r="G12" s="34"/>
      <c r="H12" s="55" t="s">
        <v>30</v>
      </c>
      <c r="I12" s="55">
        <f>-I32/I116</f>
        <v>0.10891227466703932</v>
      </c>
      <c r="J12" s="55">
        <f>-J32/J116</f>
        <v>0.10937522021619944</v>
      </c>
      <c r="K12" s="58">
        <f>-K32/K116</f>
        <v>0.11543059894326815</v>
      </c>
      <c r="L12" s="58">
        <f>-L32/L116</f>
        <v>0.13713504630553977</v>
      </c>
      <c r="M12" s="58">
        <f t="shared" si="10"/>
        <v>0.11771328503301168</v>
      </c>
      <c r="N12" s="58">
        <f t="shared" si="10"/>
        <v>0.11771328503301168</v>
      </c>
      <c r="O12" s="58">
        <f t="shared" si="10"/>
        <v>0.11771328503301168</v>
      </c>
      <c r="P12" s="58">
        <f t="shared" si="10"/>
        <v>0.11771328503301168</v>
      </c>
      <c r="Q12" s="58">
        <f t="shared" si="10"/>
        <v>0.11771328503301168</v>
      </c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spans="1:29" s="6" customFormat="1" x14ac:dyDescent="0.3">
      <c r="A13" s="34"/>
      <c r="B13" s="34"/>
      <c r="C13" s="34"/>
      <c r="D13" s="34" t="s">
        <v>239</v>
      </c>
      <c r="E13" s="34"/>
      <c r="F13" s="34" t="s">
        <v>234</v>
      </c>
      <c r="G13" s="34"/>
      <c r="H13" s="55" t="s">
        <v>30</v>
      </c>
      <c r="I13" s="55">
        <f>-I34/I122</f>
        <v>2.9224656525184432E-2</v>
      </c>
      <c r="J13" s="55">
        <f>-J34/J122</f>
        <v>4.0237014605406657E-2</v>
      </c>
      <c r="K13" s="58">
        <f>-K34/K122</f>
        <v>8.0483718532519968E-2</v>
      </c>
      <c r="L13" s="58">
        <f>-L34/L122</f>
        <v>8.5800297516232957E-2</v>
      </c>
      <c r="M13" s="58">
        <f t="shared" si="10"/>
        <v>5.8936421794836005E-2</v>
      </c>
      <c r="N13" s="58">
        <f t="shared" si="10"/>
        <v>5.8936421794836005E-2</v>
      </c>
      <c r="O13" s="58">
        <f t="shared" si="10"/>
        <v>5.8936421794836005E-2</v>
      </c>
      <c r="P13" s="58">
        <f t="shared" si="10"/>
        <v>5.8936421794836005E-2</v>
      </c>
      <c r="Q13" s="58">
        <f t="shared" si="10"/>
        <v>5.8936421794836005E-2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pans="1:29" s="6" customFormat="1" x14ac:dyDescent="0.3">
      <c r="A14" s="34"/>
      <c r="B14" s="34"/>
      <c r="C14" s="34"/>
      <c r="D14" s="34" t="s">
        <v>240</v>
      </c>
      <c r="E14" s="34"/>
      <c r="F14" s="34" t="s">
        <v>234</v>
      </c>
      <c r="G14" s="34"/>
      <c r="H14" s="55">
        <f t="shared" ref="H14:J14" si="15">H35/H25</f>
        <v>2.6306794916192984E-2</v>
      </c>
      <c r="I14" s="55">
        <f t="shared" si="15"/>
        <v>1.3888222798351358E-2</v>
      </c>
      <c r="J14" s="55">
        <f t="shared" si="15"/>
        <v>9.7506220224393633E-3</v>
      </c>
      <c r="K14" s="58">
        <f t="shared" ref="K14:L14" si="16">K35/K25</f>
        <v>1.4947606409432582E-2</v>
      </c>
      <c r="L14" s="58">
        <f t="shared" si="16"/>
        <v>3.8083939860480753E-2</v>
      </c>
      <c r="M14" s="58">
        <f t="shared" si="10"/>
        <v>2.0595437201379407E-2</v>
      </c>
      <c r="N14" s="58">
        <f t="shared" si="10"/>
        <v>2.0595437201379407E-2</v>
      </c>
      <c r="O14" s="58">
        <f t="shared" si="10"/>
        <v>2.0595437201379407E-2</v>
      </c>
      <c r="P14" s="58">
        <f t="shared" si="10"/>
        <v>2.0595437201379407E-2</v>
      </c>
      <c r="Q14" s="58">
        <f t="shared" si="10"/>
        <v>2.0595437201379407E-2</v>
      </c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29" s="6" customFormat="1" x14ac:dyDescent="0.3">
      <c r="A15" s="34"/>
      <c r="B15" s="34"/>
      <c r="C15" s="34"/>
      <c r="D15" s="34" t="s">
        <v>241</v>
      </c>
      <c r="E15" s="34"/>
      <c r="F15" s="34" t="s">
        <v>234</v>
      </c>
      <c r="G15" s="34"/>
      <c r="H15" s="55">
        <f t="shared" ref="H15:J15" si="17">-H37/H36</f>
        <v>0.12177949079854508</v>
      </c>
      <c r="I15" s="55">
        <f t="shared" si="17"/>
        <v>8.8901902097295399E-2</v>
      </c>
      <c r="J15" s="55">
        <f t="shared" si="17"/>
        <v>0.22836208680457074</v>
      </c>
      <c r="K15" s="58">
        <f t="shared" ref="K15:L15" si="18">-K37/K36</f>
        <v>0.10462501173923572</v>
      </c>
      <c r="L15" s="58">
        <f t="shared" si="18"/>
        <v>0.12308124557286614</v>
      </c>
      <c r="M15" s="58">
        <f t="shared" si="10"/>
        <v>0.13334994740250264</v>
      </c>
      <c r="N15" s="58">
        <f t="shared" si="10"/>
        <v>0.13334994740250264</v>
      </c>
      <c r="O15" s="58">
        <f t="shared" si="10"/>
        <v>0.13334994740250264</v>
      </c>
      <c r="P15" s="58">
        <f t="shared" si="10"/>
        <v>0.13334994740250264</v>
      </c>
      <c r="Q15" s="58">
        <f t="shared" si="10"/>
        <v>0.13334994740250264</v>
      </c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</row>
    <row r="16" spans="1:29" s="6" customFormat="1" x14ac:dyDescent="0.3">
      <c r="A16" s="34"/>
      <c r="B16" s="34"/>
      <c r="C16" s="34"/>
      <c r="D16" s="34" t="s">
        <v>242</v>
      </c>
      <c r="E16" s="34"/>
      <c r="F16" s="34" t="s">
        <v>234</v>
      </c>
      <c r="G16" s="34"/>
      <c r="H16" s="55">
        <f t="shared" ref="H16:J16" si="19">-H96/H38</f>
        <v>0.20693918171309875</v>
      </c>
      <c r="I16" s="55">
        <f t="shared" si="19"/>
        <v>0.25108907827080551</v>
      </c>
      <c r="J16" s="55">
        <f t="shared" si="19"/>
        <v>0.52593835976996606</v>
      </c>
      <c r="K16" s="58">
        <f t="shared" ref="K16:L16" si="20">-K96/K38</f>
        <v>0.29837258344098128</v>
      </c>
      <c r="L16" s="58">
        <f t="shared" si="20"/>
        <v>0.22771660649819483</v>
      </c>
      <c r="M16" s="58">
        <f t="shared" si="10"/>
        <v>0.30201116193860927</v>
      </c>
      <c r="N16" s="58">
        <f t="shared" si="10"/>
        <v>0.30201116193860927</v>
      </c>
      <c r="O16" s="58">
        <f t="shared" si="10"/>
        <v>0.30201116193860927</v>
      </c>
      <c r="P16" s="58">
        <f t="shared" si="10"/>
        <v>0.30201116193860927</v>
      </c>
      <c r="Q16" s="58">
        <f t="shared" si="10"/>
        <v>0.30201116193860927</v>
      </c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 spans="1:29" s="6" customFormat="1" x14ac:dyDescent="0.3">
      <c r="A17" s="34"/>
      <c r="B17" s="34"/>
      <c r="C17" s="34"/>
      <c r="D17" s="34" t="s">
        <v>177</v>
      </c>
      <c r="E17" s="34"/>
      <c r="F17" s="34" t="s">
        <v>243</v>
      </c>
      <c r="G17" s="34"/>
      <c r="H17" s="56">
        <f t="shared" ref="H17:J17" si="21">H47/H25*365</f>
        <v>66.173828343115233</v>
      </c>
      <c r="I17" s="56">
        <f t="shared" si="21"/>
        <v>64.685603699012347</v>
      </c>
      <c r="J17" s="56">
        <f t="shared" si="21"/>
        <v>67.094426713428263</v>
      </c>
      <c r="K17" s="56">
        <f t="shared" ref="K17" si="22">K47/K25*365</f>
        <v>64.911818200477114</v>
      </c>
      <c r="L17" s="56">
        <f>L47/L25*365</f>
        <v>69.434213530466224</v>
      </c>
      <c r="M17" s="56">
        <f t="shared" si="10"/>
        <v>66.459978097299839</v>
      </c>
      <c r="N17" s="56">
        <f t="shared" si="10"/>
        <v>66.459978097299839</v>
      </c>
      <c r="O17" s="56">
        <f t="shared" si="10"/>
        <v>66.459978097299839</v>
      </c>
      <c r="P17" s="56">
        <f t="shared" si="10"/>
        <v>66.459978097299839</v>
      </c>
      <c r="Q17" s="56">
        <f t="shared" si="10"/>
        <v>66.459978097299839</v>
      </c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</row>
    <row r="18" spans="1:29" s="6" customFormat="1" x14ac:dyDescent="0.3">
      <c r="A18" s="34"/>
      <c r="B18" s="34"/>
      <c r="C18" s="34"/>
      <c r="D18" s="34" t="s">
        <v>244</v>
      </c>
      <c r="E18" s="34"/>
      <c r="F18" s="34" t="s">
        <v>243</v>
      </c>
      <c r="G18" s="34"/>
      <c r="H18" s="56">
        <f t="shared" ref="H18:J18" si="23">-H48/H26*365</f>
        <v>241.26061181205449</v>
      </c>
      <c r="I18" s="56">
        <f t="shared" si="23"/>
        <v>262.42639864698384</v>
      </c>
      <c r="J18" s="56">
        <f t="shared" si="23"/>
        <v>193.96362017102661</v>
      </c>
      <c r="K18" s="56">
        <f t="shared" ref="K18" si="24">-K48/K26*365</f>
        <v>196.72201766857447</v>
      </c>
      <c r="L18" s="56">
        <f>-L48/L26*365</f>
        <v>223.89198952198245</v>
      </c>
      <c r="M18" s="56">
        <f t="shared" si="10"/>
        <v>223.65292756412435</v>
      </c>
      <c r="N18" s="56">
        <f t="shared" si="10"/>
        <v>223.65292756412435</v>
      </c>
      <c r="O18" s="56">
        <f t="shared" si="10"/>
        <v>223.65292756412435</v>
      </c>
      <c r="P18" s="56">
        <f t="shared" si="10"/>
        <v>223.65292756412435</v>
      </c>
      <c r="Q18" s="56">
        <f t="shared" si="10"/>
        <v>223.65292756412435</v>
      </c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 spans="1:29" s="6" customFormat="1" x14ac:dyDescent="0.3">
      <c r="A19" s="34"/>
      <c r="B19" s="34"/>
      <c r="C19" s="34"/>
      <c r="D19" s="34" t="s">
        <v>186</v>
      </c>
      <c r="E19" s="34"/>
      <c r="F19" s="34" t="s">
        <v>243</v>
      </c>
      <c r="G19" s="34"/>
      <c r="H19" s="56">
        <f t="shared" ref="H19:J19" si="25">H60/-H26*365</f>
        <v>111.57327795658662</v>
      </c>
      <c r="I19" s="56">
        <f t="shared" si="25"/>
        <v>102.45310732030555</v>
      </c>
      <c r="J19" s="56">
        <f t="shared" si="25"/>
        <v>86.660386317874654</v>
      </c>
      <c r="K19" s="56">
        <f t="shared" ref="K19" si="26">K60/-K26*365</f>
        <v>129.2260176037654</v>
      </c>
      <c r="L19" s="56">
        <f>L60/-L26*365</f>
        <v>140.91648020888871</v>
      </c>
      <c r="M19" s="56">
        <f t="shared" si="10"/>
        <v>114.1658538814842</v>
      </c>
      <c r="N19" s="56">
        <f t="shared" si="10"/>
        <v>114.1658538814842</v>
      </c>
      <c r="O19" s="56">
        <f t="shared" si="10"/>
        <v>114.1658538814842</v>
      </c>
      <c r="P19" s="56">
        <f t="shared" si="10"/>
        <v>114.1658538814842</v>
      </c>
      <c r="Q19" s="56">
        <f t="shared" si="10"/>
        <v>114.1658538814842</v>
      </c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 spans="1:29" s="6" customFormat="1" x14ac:dyDescent="0.3">
      <c r="A20" s="34"/>
      <c r="B20" s="34"/>
      <c r="C20" s="34"/>
      <c r="D20" s="34" t="s">
        <v>245</v>
      </c>
      <c r="E20" s="34"/>
      <c r="F20" s="34" t="s">
        <v>246</v>
      </c>
      <c r="G20" s="34"/>
      <c r="H20" s="57">
        <f t="shared" ref="H20:J20" si="27">H25/H52</f>
        <v>3.1764324386302483</v>
      </c>
      <c r="I20" s="57">
        <f t="shared" si="27"/>
        <v>3.7469134497484249</v>
      </c>
      <c r="J20" s="57">
        <f t="shared" si="27"/>
        <v>4.4734698600023144</v>
      </c>
      <c r="K20" s="57">
        <f t="shared" ref="K20" si="28">K25/K52</f>
        <v>4.8638402113314188</v>
      </c>
      <c r="L20" s="57">
        <f>L25/L52</f>
        <v>4.4616777079927727</v>
      </c>
      <c r="M20" s="57">
        <f>L20+0.5</f>
        <v>4.9616777079927727</v>
      </c>
      <c r="N20" s="57">
        <f t="shared" ref="N20:O20" si="29">M20+0.5</f>
        <v>5.4616777079927727</v>
      </c>
      <c r="O20" s="57">
        <f t="shared" si="29"/>
        <v>5.9616777079927727</v>
      </c>
      <c r="P20" s="57">
        <f t="shared" ref="P20" si="30">O20+0.5</f>
        <v>6.4616777079927727</v>
      </c>
      <c r="Q20" s="57">
        <f t="shared" ref="Q20" si="31">P20+0.5</f>
        <v>6.9616777079927727</v>
      </c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</row>
    <row r="21" spans="1:29" s="6" customFormat="1" x14ac:dyDescent="0.3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 spans="1:29" s="6" customFormat="1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</row>
    <row r="23" spans="1:29" s="5" customFormat="1" ht="21" x14ac:dyDescent="0.4">
      <c r="A23" s="3" t="s">
        <v>156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29" x14ac:dyDescent="0.3">
      <c r="B24" s="40" t="s">
        <v>5</v>
      </c>
    </row>
    <row r="25" spans="1:29" x14ac:dyDescent="0.3">
      <c r="D25" s="40" t="s">
        <v>157</v>
      </c>
      <c r="E25" s="40"/>
      <c r="F25" s="34" t="s">
        <v>174</v>
      </c>
      <c r="G25" s="40"/>
      <c r="H25" s="41">
        <f>Historical!J6</f>
        <v>88650.1</v>
      </c>
      <c r="I25" s="41">
        <f>Historical!K6</f>
        <v>106341.9</v>
      </c>
      <c r="J25" s="41">
        <f>Historical!L6</f>
        <v>115992.6</v>
      </c>
      <c r="K25" s="41">
        <f>Historical!M6</f>
        <v>126675.8</v>
      </c>
      <c r="L25" s="41">
        <f>Historical!N6</f>
        <v>129645.2</v>
      </c>
      <c r="M25" s="42">
        <f t="shared" ref="M25:O25" si="32">L25*(1+M8)</f>
        <v>142799.7752683711</v>
      </c>
      <c r="N25" s="42">
        <f t="shared" si="32"/>
        <v>155405.48100298073</v>
      </c>
      <c r="O25" s="42">
        <f t="shared" si="32"/>
        <v>167340.55800619753</v>
      </c>
      <c r="P25" s="42">
        <f t="shared" ref="P25" si="33">O25*(1+P8)</f>
        <v>178521.52483199711</v>
      </c>
      <c r="Q25" s="42">
        <f t="shared" ref="Q25" si="34">P25*(1+Q8)</f>
        <v>188898.91119570521</v>
      </c>
    </row>
    <row r="26" spans="1:29" x14ac:dyDescent="0.3">
      <c r="D26" s="34" t="s">
        <v>158</v>
      </c>
      <c r="F26" s="34" t="s">
        <v>174</v>
      </c>
      <c r="H26" s="46">
        <f>-SUM(Historical!J10:J12)</f>
        <v>-34984.6</v>
      </c>
      <c r="I26" s="46">
        <f>-SUM(Historical!K10:K12)</f>
        <v>-41802.899999999994</v>
      </c>
      <c r="J26" s="46">
        <f>-SUM(Historical!L10:L12)</f>
        <v>-49068.399999999994</v>
      </c>
      <c r="K26" s="46">
        <f>-SUM(Historical!M10:M12)</f>
        <v>-49375.8</v>
      </c>
      <c r="L26" s="46">
        <f>-SUM(Historical!N10:N12)</f>
        <v>-47642.599999999991</v>
      </c>
      <c r="M26" s="43">
        <f t="shared" ref="M26:O26" si="35">-M25*M9</f>
        <v>-56206.897159048953</v>
      </c>
      <c r="N26" s="43">
        <f t="shared" si="35"/>
        <v>-61168.582879568217</v>
      </c>
      <c r="O26" s="43">
        <f t="shared" si="35"/>
        <v>-65866.304878390729</v>
      </c>
      <c r="P26" s="43">
        <f t="shared" ref="P26:Q26" si="36">-P25*P9</f>
        <v>-70267.204328935244</v>
      </c>
      <c r="Q26" s="43">
        <f t="shared" si="36"/>
        <v>-74351.809413421317</v>
      </c>
    </row>
    <row r="27" spans="1:29" x14ac:dyDescent="0.3">
      <c r="D27" s="39" t="s">
        <v>159</v>
      </c>
      <c r="E27" s="39"/>
      <c r="F27" s="38" t="s">
        <v>174</v>
      </c>
      <c r="G27" s="39"/>
      <c r="H27" s="44">
        <f t="shared" ref="H27:O27" si="37">SUM(H25:H26)</f>
        <v>53665.500000000007</v>
      </c>
      <c r="I27" s="44">
        <f t="shared" si="37"/>
        <v>64539</v>
      </c>
      <c r="J27" s="44">
        <f t="shared" si="37"/>
        <v>66924.200000000012</v>
      </c>
      <c r="K27" s="44">
        <f t="shared" ref="K27:L27" si="38">SUM(K25:K26)</f>
        <v>77300</v>
      </c>
      <c r="L27" s="44">
        <f t="shared" si="38"/>
        <v>82002.600000000006</v>
      </c>
      <c r="M27" s="44">
        <f t="shared" si="37"/>
        <v>86592.878109322148</v>
      </c>
      <c r="N27" s="44">
        <f t="shared" si="37"/>
        <v>94236.898123412509</v>
      </c>
      <c r="O27" s="44">
        <f t="shared" si="37"/>
        <v>101474.25312780681</v>
      </c>
      <c r="P27" s="44">
        <f t="shared" ref="P27:Q27" si="39">SUM(P25:P26)</f>
        <v>108254.32050306187</v>
      </c>
      <c r="Q27" s="44">
        <f t="shared" si="39"/>
        <v>114547.10178228389</v>
      </c>
    </row>
    <row r="28" spans="1:29" x14ac:dyDescent="0.3">
      <c r="B28" s="40" t="s">
        <v>9</v>
      </c>
      <c r="H28" s="43"/>
      <c r="I28" s="43"/>
      <c r="J28" s="43"/>
      <c r="K28" s="43"/>
      <c r="L28" s="43"/>
      <c r="M28" s="43"/>
      <c r="N28" s="43"/>
      <c r="O28" s="43"/>
      <c r="P28" s="43"/>
      <c r="Q28" s="43"/>
    </row>
    <row r="29" spans="1:29" x14ac:dyDescent="0.3">
      <c r="D29" s="34" t="s">
        <v>160</v>
      </c>
      <c r="F29" s="34" t="s">
        <v>174</v>
      </c>
      <c r="H29" s="46">
        <f>-SUM(Historical!J14)</f>
        <v>-16210.3</v>
      </c>
      <c r="I29" s="46">
        <f>-SUM(Historical!K14)</f>
        <v>-19627.099999999999</v>
      </c>
      <c r="J29" s="46">
        <f>-SUM(Historical!L14)</f>
        <v>-21313.5</v>
      </c>
      <c r="K29" s="46">
        <f>-SUM(Historical!M14)</f>
        <v>-22010.1</v>
      </c>
      <c r="L29" s="46">
        <f>-SUM(Historical!N14)</f>
        <v>-24539.200000000001</v>
      </c>
      <c r="M29" s="43">
        <f t="shared" ref="M29:O29" si="40">-M25*M10</f>
        <v>-26109.596039024513</v>
      </c>
      <c r="N29" s="43">
        <f t="shared" si="40"/>
        <v>-28414.430790332215</v>
      </c>
      <c r="O29" s="43">
        <f t="shared" si="40"/>
        <v>-30596.647384602049</v>
      </c>
      <c r="P29" s="43">
        <f t="shared" ref="P29:Q29" si="41">-P25*P10</f>
        <v>-32640.982024476103</v>
      </c>
      <c r="Q29" s="43">
        <f t="shared" si="41"/>
        <v>-34538.389533613219</v>
      </c>
      <c r="R29" s="35"/>
    </row>
    <row r="30" spans="1:29" x14ac:dyDescent="0.3">
      <c r="D30" s="34" t="s">
        <v>161</v>
      </c>
      <c r="F30" s="34" t="s">
        <v>174</v>
      </c>
      <c r="H30" s="46">
        <f>-SUM(Historical!J17)</f>
        <v>-18031.3</v>
      </c>
      <c r="I30" s="46">
        <f>-SUM(Historical!K17)</f>
        <v>-24382.7</v>
      </c>
      <c r="J30" s="46">
        <f>-SUM(Historical!L17)</f>
        <v>-29516.2</v>
      </c>
      <c r="K30" s="46">
        <f>-SUM(Historical!M17)</f>
        <v>-32835</v>
      </c>
      <c r="L30" s="46">
        <f>-SUM(Historical!N17)</f>
        <v>-32341.9</v>
      </c>
      <c r="M30" s="43">
        <f t="shared" ref="M30:O30" si="42">-M25*M11</f>
        <v>-34152.575917094473</v>
      </c>
      <c r="N30" s="43">
        <f t="shared" si="42"/>
        <v>-37167.407847191811</v>
      </c>
      <c r="O30" s="43">
        <f t="shared" si="42"/>
        <v>-40021.849478228556</v>
      </c>
      <c r="P30" s="43">
        <f t="shared" ref="P30:Q30" si="43">-P25*P11</f>
        <v>-42695.935047529965</v>
      </c>
      <c r="Q30" s="43">
        <f t="shared" si="43"/>
        <v>-45177.833040306854</v>
      </c>
      <c r="R30" s="36"/>
      <c r="S30" s="36"/>
    </row>
    <row r="31" spans="1:29" x14ac:dyDescent="0.3">
      <c r="D31" s="39" t="s">
        <v>162</v>
      </c>
      <c r="E31" s="39"/>
      <c r="F31" s="38" t="s">
        <v>174</v>
      </c>
      <c r="G31" s="39"/>
      <c r="H31" s="44">
        <f t="shared" ref="H31:O31" si="44">SUM(H27:H30)</f>
        <v>19423.900000000012</v>
      </c>
      <c r="I31" s="44">
        <f t="shared" si="44"/>
        <v>20529.2</v>
      </c>
      <c r="J31" s="44">
        <f t="shared" si="44"/>
        <v>16094.500000000011</v>
      </c>
      <c r="K31" s="44">
        <f t="shared" ref="K31:L31" si="45">SUM(K27:K30)</f>
        <v>22454.9</v>
      </c>
      <c r="L31" s="44">
        <f t="shared" si="45"/>
        <v>25121.500000000007</v>
      </c>
      <c r="M31" s="44">
        <f t="shared" si="44"/>
        <v>26330.706153203158</v>
      </c>
      <c r="N31" s="44">
        <f t="shared" si="44"/>
        <v>28655.05948588848</v>
      </c>
      <c r="O31" s="44">
        <f t="shared" si="44"/>
        <v>30855.756264976197</v>
      </c>
      <c r="P31" s="44">
        <f t="shared" ref="P31:Q31" si="46">SUM(P27:P30)</f>
        <v>32917.403431055798</v>
      </c>
      <c r="Q31" s="44">
        <f t="shared" si="46"/>
        <v>34830.879208363811</v>
      </c>
    </row>
    <row r="32" spans="1:29" x14ac:dyDescent="0.3">
      <c r="D32" s="34" t="s">
        <v>163</v>
      </c>
      <c r="F32" s="34" t="s">
        <v>174</v>
      </c>
      <c r="H32" s="46">
        <f>-Historical!J16</f>
        <v>-2745.8</v>
      </c>
      <c r="I32" s="46">
        <f>-Historical!K16</f>
        <v>-3039.6</v>
      </c>
      <c r="J32" s="46">
        <f>-Historical!L16</f>
        <v>-3104.2</v>
      </c>
      <c r="K32" s="46">
        <f>-Historical!M16</f>
        <v>-2993</v>
      </c>
      <c r="L32" s="46">
        <f>-Historical!N16</f>
        <v>-3571.6</v>
      </c>
      <c r="M32" s="43">
        <f t="shared" ref="M32:O32" si="47">M118</f>
        <v>-3420.4537798467368</v>
      </c>
      <c r="N32" s="43">
        <f t="shared" si="47"/>
        <v>-3329.9065499870353</v>
      </c>
      <c r="O32" s="43">
        <f t="shared" si="47"/>
        <v>-3209.6178831359812</v>
      </c>
      <c r="P32" s="43">
        <f>P118</f>
        <v>-3067.4612311360238</v>
      </c>
      <c r="Q32" s="43">
        <f t="shared" ref="Q32" si="48">Q118</f>
        <v>-2910.0655267412153</v>
      </c>
    </row>
    <row r="33" spans="1:17" x14ac:dyDescent="0.3">
      <c r="D33" s="39" t="s">
        <v>164</v>
      </c>
      <c r="E33" s="39"/>
      <c r="F33" s="38" t="s">
        <v>174</v>
      </c>
      <c r="G33" s="39"/>
      <c r="H33" s="44">
        <f t="shared" ref="H33:O33" si="49">SUM(H31:H32)</f>
        <v>16678.100000000013</v>
      </c>
      <c r="I33" s="44">
        <f t="shared" si="49"/>
        <v>17489.600000000002</v>
      </c>
      <c r="J33" s="44">
        <f t="shared" si="49"/>
        <v>12990.30000000001</v>
      </c>
      <c r="K33" s="44">
        <f t="shared" ref="K33:L33" si="50">SUM(K31:K32)</f>
        <v>19461.900000000001</v>
      </c>
      <c r="L33" s="44">
        <f t="shared" si="50"/>
        <v>21549.900000000009</v>
      </c>
      <c r="M33" s="44">
        <f t="shared" si="49"/>
        <v>22910.252373356423</v>
      </c>
      <c r="N33" s="44">
        <f t="shared" si="49"/>
        <v>25325.152935901446</v>
      </c>
      <c r="O33" s="44">
        <f t="shared" si="49"/>
        <v>27646.138381840217</v>
      </c>
      <c r="P33" s="44">
        <f t="shared" ref="P33:Q33" si="51">SUM(P31:P32)</f>
        <v>29849.942199919773</v>
      </c>
      <c r="Q33" s="44">
        <f t="shared" si="51"/>
        <v>31920.813681622596</v>
      </c>
    </row>
    <row r="34" spans="1:17" x14ac:dyDescent="0.3">
      <c r="D34" s="34" t="s">
        <v>165</v>
      </c>
      <c r="F34" s="34" t="s">
        <v>174</v>
      </c>
      <c r="H34" s="46">
        <f>-SUM(Historical!J15)</f>
        <v>-589.20000000000005</v>
      </c>
      <c r="I34" s="46">
        <f>-SUM(Historical!K15)</f>
        <v>-523.70000000000005</v>
      </c>
      <c r="J34" s="46">
        <f>-SUM(Historical!L15)</f>
        <v>-1073.5999999999999</v>
      </c>
      <c r="K34" s="46">
        <f>-SUM(Historical!M15)</f>
        <v>-1124.0999999999999</v>
      </c>
      <c r="L34" s="46">
        <f>-SUM(Historical!N15)</f>
        <v>-1217</v>
      </c>
      <c r="M34" s="43">
        <f t="shared" ref="M34:O34" si="52">M125</f>
        <v>-813.85304856489029</v>
      </c>
      <c r="N34" s="43">
        <f t="shared" si="52"/>
        <v>-813.85304856489029</v>
      </c>
      <c r="O34" s="43">
        <f t="shared" si="52"/>
        <v>-813.85304856489029</v>
      </c>
      <c r="P34" s="43">
        <f t="shared" ref="P34:Q34" si="53">P125</f>
        <v>-813.85304856489029</v>
      </c>
      <c r="Q34" s="43">
        <f t="shared" si="53"/>
        <v>-813.85304856489029</v>
      </c>
    </row>
    <row r="35" spans="1:17" x14ac:dyDescent="0.3">
      <c r="D35" s="34" t="s">
        <v>166</v>
      </c>
      <c r="F35" s="34" t="s">
        <v>174</v>
      </c>
      <c r="H35" s="46">
        <f>SUM(Historical!J7,Historical!J20)</f>
        <v>2332.1</v>
      </c>
      <c r="I35" s="46">
        <f>SUM(Historical!K7,Historical!K20)</f>
        <v>1476.9</v>
      </c>
      <c r="J35" s="46">
        <f>SUM(Historical!L7,Historical!L20)</f>
        <v>1131.0000000000002</v>
      </c>
      <c r="K35" s="46">
        <f>SUM(Historical!M7,Historical!M20)</f>
        <v>1893.5</v>
      </c>
      <c r="L35" s="46">
        <f>SUM(Historical!N7,Historical!N20)</f>
        <v>4937.3999999999996</v>
      </c>
      <c r="M35" s="43">
        <f t="shared" ref="M35:O35" si="54">M25*M14</f>
        <v>2941.0238039108294</v>
      </c>
      <c r="N35" s="43">
        <f t="shared" si="54"/>
        <v>3200.6438247470501</v>
      </c>
      <c r="O35" s="43">
        <f t="shared" si="54"/>
        <v>3446.4519536604294</v>
      </c>
      <c r="P35" s="43">
        <f t="shared" ref="P35:Q35" si="55">P25*P14</f>
        <v>3676.728853771891</v>
      </c>
      <c r="Q35" s="43">
        <f t="shared" si="55"/>
        <v>3890.4556629400922</v>
      </c>
    </row>
    <row r="36" spans="1:17" x14ac:dyDescent="0.3">
      <c r="D36" s="39" t="s">
        <v>167</v>
      </c>
      <c r="E36" s="38"/>
      <c r="F36" s="38" t="s">
        <v>174</v>
      </c>
      <c r="G36" s="38"/>
      <c r="H36" s="44">
        <f t="shared" ref="H36:O36" si="56">SUM(H33:H35)</f>
        <v>18421.000000000011</v>
      </c>
      <c r="I36" s="44">
        <f t="shared" si="56"/>
        <v>18442.800000000003</v>
      </c>
      <c r="J36" s="44">
        <f t="shared" si="56"/>
        <v>13047.70000000001</v>
      </c>
      <c r="K36" s="44">
        <f t="shared" ref="K36:L36" si="57">SUM(K33:K35)</f>
        <v>20231.300000000003</v>
      </c>
      <c r="L36" s="44">
        <f t="shared" si="57"/>
        <v>25270.30000000001</v>
      </c>
      <c r="M36" s="44">
        <f t="shared" si="56"/>
        <v>25037.423128702361</v>
      </c>
      <c r="N36" s="44">
        <f t="shared" si="56"/>
        <v>27711.943712083605</v>
      </c>
      <c r="O36" s="44">
        <f t="shared" si="56"/>
        <v>30278.737286935757</v>
      </c>
      <c r="P36" s="44">
        <f t="shared" ref="P36:Q36" si="58">SUM(P33:P35)</f>
        <v>32712.818005126774</v>
      </c>
      <c r="Q36" s="44">
        <f t="shared" si="58"/>
        <v>34997.416295997798</v>
      </c>
    </row>
    <row r="37" spans="1:17" x14ac:dyDescent="0.3">
      <c r="D37" s="34" t="s">
        <v>168</v>
      </c>
      <c r="F37" s="34" t="s">
        <v>174</v>
      </c>
      <c r="H37" s="46">
        <f>-SUM(Historical!J26)</f>
        <v>-2243.3000000000002</v>
      </c>
      <c r="I37" s="46">
        <f>-SUM(Historical!K26)</f>
        <v>-1639.6</v>
      </c>
      <c r="J37" s="46">
        <f>-SUM(Historical!L26)</f>
        <v>-2979.6</v>
      </c>
      <c r="K37" s="46">
        <f>-SUM(Historical!M26)</f>
        <v>-2116.6999999999998</v>
      </c>
      <c r="L37" s="46">
        <f>-SUM(Historical!N26)</f>
        <v>-3110.3</v>
      </c>
      <c r="M37" s="43">
        <f t="shared" ref="M37:O37" si="59">-M36*M15</f>
        <v>-3338.7390573066627</v>
      </c>
      <c r="N37" s="43">
        <f t="shared" si="59"/>
        <v>-3695.3862364274623</v>
      </c>
      <c r="O37" s="43">
        <f t="shared" si="59"/>
        <v>-4037.6680246270785</v>
      </c>
      <c r="P37" s="43">
        <f t="shared" ref="P37:Q37" si="60">-P36*P15</f>
        <v>-4362.2525603712966</v>
      </c>
      <c r="Q37" s="43">
        <f t="shared" si="60"/>
        <v>-4666.9036222947952</v>
      </c>
    </row>
    <row r="38" spans="1:17" ht="16.2" thickBot="1" x14ac:dyDescent="0.35">
      <c r="B38" s="37"/>
      <c r="D38" s="47" t="s">
        <v>169</v>
      </c>
      <c r="E38" s="48"/>
      <c r="F38" s="48" t="s">
        <v>174</v>
      </c>
      <c r="G38" s="48"/>
      <c r="H38" s="49">
        <f t="shared" ref="H38:O38" si="61">SUM(H36:H37)</f>
        <v>16177.700000000012</v>
      </c>
      <c r="I38" s="49">
        <f t="shared" si="61"/>
        <v>16803.200000000004</v>
      </c>
      <c r="J38" s="49">
        <f t="shared" si="61"/>
        <v>10068.100000000009</v>
      </c>
      <c r="K38" s="49">
        <f t="shared" ref="K38:L38" si="62">SUM(K36:K37)</f>
        <v>18114.600000000002</v>
      </c>
      <c r="L38" s="49">
        <f t="shared" si="62"/>
        <v>22160.000000000011</v>
      </c>
      <c r="M38" s="49">
        <f t="shared" si="61"/>
        <v>21698.684071395699</v>
      </c>
      <c r="N38" s="49">
        <f t="shared" si="61"/>
        <v>24016.557475656144</v>
      </c>
      <c r="O38" s="49">
        <f t="shared" si="61"/>
        <v>26241.06926230868</v>
      </c>
      <c r="P38" s="49">
        <f t="shared" ref="P38:Q38" si="63">SUM(P36:P37)</f>
        <v>28350.565444755477</v>
      </c>
      <c r="Q38" s="49">
        <f t="shared" si="63"/>
        <v>30330.512673703004</v>
      </c>
    </row>
    <row r="39" spans="1:17" ht="16.2" thickTop="1" x14ac:dyDescent="0.3">
      <c r="H39" s="43"/>
      <c r="I39" s="43"/>
      <c r="J39" s="43"/>
      <c r="K39" s="43"/>
      <c r="L39" s="43"/>
      <c r="M39" s="43"/>
      <c r="N39" s="43"/>
      <c r="O39" s="43"/>
      <c r="P39" s="43"/>
      <c r="Q39" s="43"/>
    </row>
    <row r="40" spans="1:17" x14ac:dyDescent="0.3">
      <c r="H40" s="43"/>
      <c r="I40" s="43"/>
      <c r="J40" s="43"/>
      <c r="K40" s="43"/>
      <c r="L40" s="43"/>
      <c r="M40" s="43"/>
      <c r="N40" s="43"/>
      <c r="O40" s="43"/>
      <c r="P40" s="43"/>
      <c r="Q40" s="43"/>
    </row>
    <row r="41" spans="1:17" s="5" customFormat="1" ht="21" x14ac:dyDescent="0.4">
      <c r="A41" s="3" t="s">
        <v>170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x14ac:dyDescent="0.3">
      <c r="H42" s="43"/>
      <c r="I42" s="43"/>
      <c r="J42" s="43"/>
      <c r="K42" s="43"/>
      <c r="L42" s="43"/>
      <c r="M42" s="43"/>
      <c r="N42" s="43"/>
      <c r="O42" s="43"/>
      <c r="P42" s="43"/>
      <c r="Q42" s="43"/>
    </row>
    <row r="43" spans="1:17" x14ac:dyDescent="0.3">
      <c r="B43" s="40" t="s">
        <v>171</v>
      </c>
      <c r="H43" s="43"/>
      <c r="I43" s="43"/>
      <c r="J43" s="43"/>
      <c r="K43" s="43"/>
      <c r="L43" s="43"/>
      <c r="M43" s="43"/>
      <c r="N43" s="43"/>
      <c r="O43" s="43"/>
      <c r="P43" s="43"/>
      <c r="Q43" s="43"/>
    </row>
    <row r="44" spans="1:17" x14ac:dyDescent="0.3">
      <c r="C44" s="40" t="s">
        <v>172</v>
      </c>
      <c r="H44" s="43"/>
      <c r="I44" s="43"/>
      <c r="J44" s="43"/>
      <c r="K44" s="43"/>
      <c r="L44" s="43"/>
      <c r="M44" s="43"/>
      <c r="N44" s="43"/>
      <c r="O44" s="43"/>
      <c r="P44" s="43"/>
      <c r="Q44" s="43"/>
    </row>
    <row r="45" spans="1:17" x14ac:dyDescent="0.3">
      <c r="D45" s="34" t="s">
        <v>175</v>
      </c>
      <c r="F45" s="34" t="s">
        <v>174</v>
      </c>
      <c r="H45" s="46">
        <f>Historical!J55</f>
        <v>1742.2</v>
      </c>
      <c r="I45" s="46">
        <f>Historical!K55</f>
        <v>2321.8000000000002</v>
      </c>
      <c r="J45" s="46">
        <f>Historical!L55</f>
        <v>2738</v>
      </c>
      <c r="K45" s="46">
        <f>Historical!M55</f>
        <v>4550.7</v>
      </c>
      <c r="L45" s="46">
        <f>Historical!N55</f>
        <v>3041.4</v>
      </c>
      <c r="M45" s="43">
        <f t="shared" ref="M45:O45" si="64">M102</f>
        <v>11587.791623319266</v>
      </c>
      <c r="N45" s="43">
        <f t="shared" si="64"/>
        <v>25589.355326708963</v>
      </c>
      <c r="O45" s="43">
        <f t="shared" si="64"/>
        <v>41530.666002450809</v>
      </c>
      <c r="P45" s="43">
        <f t="shared" ref="P45:Q45" si="65">P102</f>
        <v>59300.186778707473</v>
      </c>
      <c r="Q45" s="43">
        <f t="shared" si="65"/>
        <v>78775.19363417002</v>
      </c>
    </row>
    <row r="46" spans="1:17" x14ac:dyDescent="0.3">
      <c r="D46" s="34" t="s">
        <v>176</v>
      </c>
      <c r="F46" s="34" t="s">
        <v>174</v>
      </c>
      <c r="H46" s="46">
        <f>Historical!J56</f>
        <v>18162.3</v>
      </c>
      <c r="I46" s="46">
        <f>Historical!K56</f>
        <v>23464</v>
      </c>
      <c r="J46" s="46">
        <f>Historical!L56</f>
        <v>23430.9</v>
      </c>
      <c r="K46" s="46">
        <f>Historical!M56</f>
        <v>11242.8</v>
      </c>
      <c r="L46" s="46">
        <f>Historical!N56</f>
        <v>12589.4</v>
      </c>
      <c r="M46" s="43">
        <f>L46</f>
        <v>12589.4</v>
      </c>
      <c r="N46" s="43">
        <f t="shared" ref="N46:Q46" si="66">M46</f>
        <v>12589.4</v>
      </c>
      <c r="O46" s="43">
        <f t="shared" si="66"/>
        <v>12589.4</v>
      </c>
      <c r="P46" s="43">
        <f t="shared" si="66"/>
        <v>12589.4</v>
      </c>
      <c r="Q46" s="43">
        <f t="shared" si="66"/>
        <v>12589.4</v>
      </c>
    </row>
    <row r="47" spans="1:17" x14ac:dyDescent="0.3">
      <c r="D47" s="34" t="s">
        <v>177</v>
      </c>
      <c r="F47" s="34" t="s">
        <v>174</v>
      </c>
      <c r="H47" s="46">
        <f>Historical!J54</f>
        <v>16072.1</v>
      </c>
      <c r="I47" s="46">
        <f>Historical!K54</f>
        <v>18846</v>
      </c>
      <c r="J47" s="46">
        <f>Historical!L54</f>
        <v>21321.8</v>
      </c>
      <c r="K47" s="46">
        <f>Historical!M54</f>
        <v>22528.1</v>
      </c>
      <c r="L47" s="46">
        <f>Historical!N54</f>
        <v>24662.5</v>
      </c>
      <c r="M47" s="43">
        <f>M25*M17/365</f>
        <v>26001.28749763091</v>
      </c>
      <c r="N47" s="43">
        <f t="shared" ref="N47:O47" si="67">N25*N17/365</f>
        <v>28296.561270297108</v>
      </c>
      <c r="O47" s="43">
        <f t="shared" si="67"/>
        <v>30469.725533922796</v>
      </c>
      <c r="P47" s="43">
        <f t="shared" ref="P47:Q47" si="68">P25*P17/365</f>
        <v>32505.579808852322</v>
      </c>
      <c r="Q47" s="43">
        <f t="shared" si="68"/>
        <v>34395.116440192753</v>
      </c>
    </row>
    <row r="48" spans="1:17" x14ac:dyDescent="0.3">
      <c r="D48" s="34" t="s">
        <v>178</v>
      </c>
      <c r="F48" s="34" t="s">
        <v>174</v>
      </c>
      <c r="H48" s="46">
        <f>Historical!J51</f>
        <v>23124.400000000001</v>
      </c>
      <c r="I48" s="46">
        <f>Historical!K51</f>
        <v>30055.3</v>
      </c>
      <c r="J48" s="46">
        <f>Historical!L51</f>
        <v>26075.3</v>
      </c>
      <c r="K48" s="46">
        <f>Historical!M51</f>
        <v>26611.8</v>
      </c>
      <c r="L48" s="46">
        <f>Historical!N51</f>
        <v>29224.1</v>
      </c>
      <c r="M48" s="43">
        <f t="shared" ref="M48:O48" si="69">-M26*M18/365</f>
        <v>34440.649586073872</v>
      </c>
      <c r="N48" s="43">
        <f t="shared" si="69"/>
        <v>37480.911331408788</v>
      </c>
      <c r="O48" s="43">
        <f t="shared" si="69"/>
        <v>40359.429901050004</v>
      </c>
      <c r="P48" s="43">
        <f t="shared" ref="P48:Q48" si="70">-P26*P18/365</f>
        <v>43056.071123048983</v>
      </c>
      <c r="Q48" s="43">
        <f t="shared" si="70"/>
        <v>45558.903684935605</v>
      </c>
    </row>
    <row r="49" spans="2:18" x14ac:dyDescent="0.3">
      <c r="D49" s="34" t="s">
        <v>179</v>
      </c>
      <c r="F49" s="34" t="s">
        <v>174</v>
      </c>
      <c r="H49" s="46">
        <f>Historical!J59</f>
        <v>5550.1</v>
      </c>
      <c r="I49" s="46">
        <f>Historical!K59</f>
        <v>6322.8</v>
      </c>
      <c r="J49" s="46">
        <f>Historical!L59</f>
        <v>7360.9</v>
      </c>
      <c r="K49" s="46">
        <f>Historical!M59</f>
        <v>8299.7999999999993</v>
      </c>
      <c r="L49" s="46">
        <f>Historical!N59</f>
        <v>8326.7000000000007</v>
      </c>
      <c r="M49" s="43">
        <f>L49</f>
        <v>8326.7000000000007</v>
      </c>
      <c r="N49" s="43">
        <f t="shared" ref="N49:Q49" si="71">M49</f>
        <v>8326.7000000000007</v>
      </c>
      <c r="O49" s="43">
        <f t="shared" si="71"/>
        <v>8326.7000000000007</v>
      </c>
      <c r="P49" s="43">
        <f t="shared" si="71"/>
        <v>8326.7000000000007</v>
      </c>
      <c r="Q49" s="43">
        <f t="shared" si="71"/>
        <v>8326.7000000000007</v>
      </c>
    </row>
    <row r="50" spans="2:18" x14ac:dyDescent="0.3">
      <c r="H50" s="46"/>
      <c r="I50" s="46"/>
      <c r="J50" s="46"/>
      <c r="K50" s="46"/>
      <c r="L50" s="46"/>
      <c r="M50" s="43"/>
      <c r="N50" s="43"/>
      <c r="O50" s="43"/>
      <c r="P50" s="43"/>
      <c r="Q50" s="43"/>
    </row>
    <row r="51" spans="2:18" x14ac:dyDescent="0.3">
      <c r="C51" s="40" t="s">
        <v>173</v>
      </c>
      <c r="H51" s="46"/>
      <c r="I51" s="46"/>
      <c r="J51" s="46"/>
      <c r="K51" s="46"/>
      <c r="L51" s="46"/>
      <c r="M51" s="43"/>
      <c r="N51" s="43"/>
      <c r="O51" s="43"/>
      <c r="P51" s="43"/>
      <c r="Q51" s="43"/>
    </row>
    <row r="52" spans="2:18" x14ac:dyDescent="0.3">
      <c r="D52" s="34" t="s">
        <v>180</v>
      </c>
      <c r="F52" s="34" t="s">
        <v>174</v>
      </c>
      <c r="H52" s="46">
        <f>SUM(Historical!J35:J37,Historical!J39,Historical!J41)</f>
        <v>27908.699999999997</v>
      </c>
      <c r="I52" s="46">
        <f>SUM(Historical!K35:K37,Historical!K39,Historical!K41)</f>
        <v>28381.200000000001</v>
      </c>
      <c r="J52" s="46">
        <f>SUM(Historical!L35:L37,Historical!L39,Historical!L41)</f>
        <v>25929</v>
      </c>
      <c r="K52" s="46">
        <f>SUM(Historical!M35:M37,Historical!M39,Historical!M41)</f>
        <v>26044.399999999998</v>
      </c>
      <c r="L52" s="46">
        <f>SUM(Historical!N35:N37,Historical!N39,Historical!N41)</f>
        <v>29057.5</v>
      </c>
      <c r="M52" s="43">
        <f>M119</f>
        <v>28288.281556777485</v>
      </c>
      <c r="N52" s="43">
        <f t="shared" ref="N52:O52" si="72">N119</f>
        <v>27266.403127190541</v>
      </c>
      <c r="O52" s="43">
        <f t="shared" si="72"/>
        <v>26058.751399859248</v>
      </c>
      <c r="P52" s="43">
        <f t="shared" ref="P52:Q52" si="73">P119</f>
        <v>24721.64060263132</v>
      </c>
      <c r="Q52" s="43">
        <f t="shared" si="73"/>
        <v>23302.219543931726</v>
      </c>
    </row>
    <row r="53" spans="2:18" x14ac:dyDescent="0.3">
      <c r="D53" s="34" t="s">
        <v>181</v>
      </c>
      <c r="F53" s="34" t="s">
        <v>174</v>
      </c>
      <c r="H53" s="46">
        <f>SUM(Historical!J38,Historical!J40)</f>
        <v>3953.9</v>
      </c>
      <c r="I53" s="46">
        <f>SUM(Historical!K38,Historical!K40)</f>
        <v>4030.9</v>
      </c>
      <c r="J53" s="46">
        <f>SUM(Historical!L38,Historical!L40)</f>
        <v>4131.7</v>
      </c>
      <c r="K53" s="46">
        <f>SUM(Historical!M38,Historical!M40)</f>
        <v>4269.0999999999995</v>
      </c>
      <c r="L53" s="46">
        <f>SUM(Historical!N38,Historical!N40)</f>
        <v>4946.3</v>
      </c>
      <c r="M53" s="43">
        <f>L53</f>
        <v>4946.3</v>
      </c>
      <c r="N53" s="43">
        <f t="shared" ref="N53:Q53" si="74">M53</f>
        <v>4946.3</v>
      </c>
      <c r="O53" s="43">
        <f t="shared" si="74"/>
        <v>4946.3</v>
      </c>
      <c r="P53" s="43">
        <f t="shared" si="74"/>
        <v>4946.3</v>
      </c>
      <c r="Q53" s="43">
        <f t="shared" si="74"/>
        <v>4946.3</v>
      </c>
    </row>
    <row r="54" spans="2:18" x14ac:dyDescent="0.3">
      <c r="D54" s="34" t="s">
        <v>182</v>
      </c>
      <c r="F54" s="34" t="s">
        <v>174</v>
      </c>
      <c r="H54" s="46">
        <f>SUM(Historical!J43:J45,Historical!J53,Historical!J57:J58,Historical!J61)</f>
        <v>6864.7</v>
      </c>
      <c r="I54" s="46">
        <f>SUM(Historical!K43:K45,Historical!K53,Historical!K57:K58,Historical!K61)</f>
        <v>12847.999999999998</v>
      </c>
      <c r="J54" s="46">
        <f>SUM(Historical!L43:L45,Historical!L53,Historical!L57:L58,Historical!L61)</f>
        <v>12448.7</v>
      </c>
      <c r="K54" s="46">
        <f>SUM(Historical!M43:M45,Historical!M53,Historical!M57:M58,Historical!M61)</f>
        <v>35432.800000000003</v>
      </c>
      <c r="L54" s="46">
        <f>SUM(Historical!N43:N45,Historical!N53,Historical!N57:N58,Historical!N61)</f>
        <v>45800.100000000006</v>
      </c>
      <c r="M54" s="43">
        <f>L54</f>
        <v>45800.100000000006</v>
      </c>
      <c r="N54" s="43">
        <f t="shared" ref="N54:Q54" si="75">M54</f>
        <v>45800.100000000006</v>
      </c>
      <c r="O54" s="43">
        <f t="shared" si="75"/>
        <v>45800.100000000006</v>
      </c>
      <c r="P54" s="43">
        <f t="shared" si="75"/>
        <v>45800.100000000006</v>
      </c>
      <c r="Q54" s="43">
        <f t="shared" si="75"/>
        <v>45800.100000000006</v>
      </c>
    </row>
    <row r="55" spans="2:18" x14ac:dyDescent="0.3">
      <c r="D55" s="34" t="s">
        <v>183</v>
      </c>
      <c r="F55" s="34" t="s">
        <v>174</v>
      </c>
      <c r="H55" s="46">
        <f>SUM(Historical!J46:J48)</f>
        <v>11814.2</v>
      </c>
      <c r="I55" s="46">
        <f>SUM(Historical!K46:K48)</f>
        <v>14421.900000000001</v>
      </c>
      <c r="J55" s="46">
        <f>SUM(Historical!L46:L48)</f>
        <v>14130</v>
      </c>
      <c r="K55" s="46">
        <f>SUM(Historical!M46:M48)</f>
        <v>16769.5</v>
      </c>
      <c r="L55" s="46">
        <f>SUM(Historical!N46:N48)</f>
        <v>19263</v>
      </c>
      <c r="M55" s="43">
        <f>L55</f>
        <v>19263</v>
      </c>
      <c r="N55" s="43">
        <f t="shared" ref="N55:Q55" si="76">M55</f>
        <v>19263</v>
      </c>
      <c r="O55" s="43">
        <f t="shared" si="76"/>
        <v>19263</v>
      </c>
      <c r="P55" s="43">
        <f t="shared" si="76"/>
        <v>19263</v>
      </c>
      <c r="Q55" s="43">
        <f t="shared" si="76"/>
        <v>19263</v>
      </c>
    </row>
    <row r="56" spans="2:18" ht="16.2" thickBot="1" x14ac:dyDescent="0.35">
      <c r="D56" s="47" t="s">
        <v>184</v>
      </c>
      <c r="E56" s="47"/>
      <c r="F56" s="48" t="s">
        <v>174</v>
      </c>
      <c r="G56" s="47"/>
      <c r="H56" s="49">
        <f t="shared" ref="H56:O56" si="77">SUM(H45:H55)</f>
        <v>115192.59999999998</v>
      </c>
      <c r="I56" s="49">
        <f t="shared" si="77"/>
        <v>140691.9</v>
      </c>
      <c r="J56" s="49">
        <f t="shared" si="77"/>
        <v>137566.29999999999</v>
      </c>
      <c r="K56" s="49">
        <f t="shared" ref="K56:L56" si="78">SUM(K45:K55)</f>
        <v>155749</v>
      </c>
      <c r="L56" s="49">
        <f t="shared" si="78"/>
        <v>176911</v>
      </c>
      <c r="M56" s="49">
        <f t="shared" si="77"/>
        <v>191243.51026380155</v>
      </c>
      <c r="N56" s="49">
        <f t="shared" si="77"/>
        <v>209558.73105560537</v>
      </c>
      <c r="O56" s="49">
        <f t="shared" si="77"/>
        <v>229344.07283728287</v>
      </c>
      <c r="P56" s="49">
        <f t="shared" ref="P56:Q56" si="79">SUM(P45:P55)</f>
        <v>250508.97831324011</v>
      </c>
      <c r="Q56" s="49">
        <f t="shared" si="79"/>
        <v>272956.93330323009</v>
      </c>
    </row>
    <row r="57" spans="2:18" ht="16.2" thickTop="1" x14ac:dyDescent="0.3">
      <c r="H57" s="43"/>
      <c r="I57" s="43"/>
      <c r="J57" s="43"/>
      <c r="K57" s="43"/>
      <c r="L57" s="43"/>
      <c r="M57" s="43"/>
      <c r="N57" s="43"/>
      <c r="O57" s="43"/>
      <c r="P57" s="43"/>
      <c r="Q57" s="43"/>
    </row>
    <row r="58" spans="2:18" x14ac:dyDescent="0.3">
      <c r="B58" s="40" t="s">
        <v>67</v>
      </c>
      <c r="H58" s="43"/>
      <c r="I58" s="43"/>
      <c r="J58" s="43"/>
      <c r="K58" s="43"/>
      <c r="L58" s="43"/>
      <c r="M58" s="43"/>
      <c r="N58" s="43"/>
      <c r="O58" s="43"/>
      <c r="P58" s="43"/>
      <c r="Q58" s="43"/>
    </row>
    <row r="59" spans="2:18" x14ac:dyDescent="0.3">
      <c r="C59" s="40" t="s">
        <v>185</v>
      </c>
      <c r="H59" s="43"/>
      <c r="I59" s="43"/>
      <c r="J59" s="43"/>
      <c r="K59" s="43"/>
      <c r="L59" s="43"/>
      <c r="M59" s="43"/>
      <c r="N59" s="43"/>
      <c r="O59" s="43"/>
      <c r="P59" s="43"/>
      <c r="Q59" s="43"/>
    </row>
    <row r="60" spans="2:18" x14ac:dyDescent="0.3">
      <c r="D60" s="34" t="s">
        <v>186</v>
      </c>
      <c r="F60" s="34" t="s">
        <v>174</v>
      </c>
      <c r="H60" s="46">
        <f>SUM(Historical!J87:J88)</f>
        <v>10694.1</v>
      </c>
      <c r="I60" s="46">
        <f>SUM(Historical!K87:K88)</f>
        <v>11733.800000000001</v>
      </c>
      <c r="J60" s="46">
        <f>SUM(Historical!L87:L88)</f>
        <v>11650.1</v>
      </c>
      <c r="K60" s="46">
        <f>SUM(Historical!M87:M88)</f>
        <v>17481.2</v>
      </c>
      <c r="L60" s="46">
        <f>SUM(Historical!N87:N88)</f>
        <v>18393.5</v>
      </c>
      <c r="M60" s="43">
        <f>-M26*M19/365</f>
        <v>17580.570981346827</v>
      </c>
      <c r="N60" s="43">
        <f t="shared" ref="N60:O60" si="80">-N26*N19/365</f>
        <v>19132.502726482853</v>
      </c>
      <c r="O60" s="43">
        <f t="shared" si="80"/>
        <v>20601.871064273004</v>
      </c>
      <c r="P60" s="43">
        <f t="shared" ref="P60:Q60" si="81">-P26*P19/365</f>
        <v>21978.398307061958</v>
      </c>
      <c r="Q60" s="43">
        <f t="shared" si="81"/>
        <v>23255.99399812772</v>
      </c>
      <c r="R60" s="43"/>
    </row>
    <row r="61" spans="2:18" x14ac:dyDescent="0.3">
      <c r="D61" s="34" t="s">
        <v>187</v>
      </c>
      <c r="F61" s="34" t="s">
        <v>174</v>
      </c>
      <c r="H61" s="46">
        <f>SUM(Historical!J89:J92)</f>
        <v>8402.9999999999982</v>
      </c>
      <c r="I61" s="46">
        <f>SUM(Historical!K89:K92)</f>
        <v>10396.200000000001</v>
      </c>
      <c r="J61" s="46">
        <f>SUM(Historical!L89:L92)</f>
        <v>12157.699999999999</v>
      </c>
      <c r="K61" s="46">
        <f>SUM(Historical!M89:M92)</f>
        <v>10572.800000000001</v>
      </c>
      <c r="L61" s="46">
        <f>SUM(Historical!N89:N92)</f>
        <v>13230.599999999977</v>
      </c>
      <c r="M61" s="43">
        <f>L61</f>
        <v>13230.599999999977</v>
      </c>
      <c r="N61" s="43">
        <f t="shared" ref="N61:Q61" si="82">M61</f>
        <v>13230.599999999977</v>
      </c>
      <c r="O61" s="43">
        <f t="shared" si="82"/>
        <v>13230.599999999977</v>
      </c>
      <c r="P61" s="43">
        <f t="shared" si="82"/>
        <v>13230.599999999977</v>
      </c>
      <c r="Q61" s="43">
        <f t="shared" si="82"/>
        <v>13230.599999999977</v>
      </c>
      <c r="R61" s="43"/>
    </row>
    <row r="62" spans="2:18" x14ac:dyDescent="0.3">
      <c r="C62" s="40" t="s">
        <v>189</v>
      </c>
      <c r="H62" s="46"/>
      <c r="I62" s="46"/>
      <c r="J62" s="46"/>
      <c r="K62" s="46"/>
      <c r="L62" s="46"/>
      <c r="M62" s="43"/>
      <c r="N62" s="43"/>
      <c r="O62" s="43"/>
      <c r="P62" s="43"/>
      <c r="Q62" s="43"/>
    </row>
    <row r="63" spans="2:18" x14ac:dyDescent="0.3">
      <c r="D63" s="34" t="s">
        <v>188</v>
      </c>
      <c r="F63" s="34" t="s">
        <v>174</v>
      </c>
      <c r="H63" s="46">
        <f>SUM(Historical!J75:J76,Historical!J84:J85)</f>
        <v>17919.800000000003</v>
      </c>
      <c r="I63" s="46">
        <f>SUM(Historical!K75:K76,Historical!K84:K85)</f>
        <v>26681.9</v>
      </c>
      <c r="J63" s="46">
        <f>SUM(Historical!L75:L76,Historical!L84:L85)</f>
        <v>13966.8</v>
      </c>
      <c r="K63" s="46">
        <f>SUM(Historical!M75:M76,Historical!M84:M85)</f>
        <v>14184.1</v>
      </c>
      <c r="L63" s="46">
        <f>SUM(Historical!N75:N76,Historical!N84:N85)</f>
        <v>13808.999999999998</v>
      </c>
      <c r="M63" s="43">
        <f t="shared" ref="M63:O63" si="83">M124</f>
        <v>13808.999999999998</v>
      </c>
      <c r="N63" s="43">
        <f t="shared" si="83"/>
        <v>13808.999999999998</v>
      </c>
      <c r="O63" s="43">
        <f t="shared" si="83"/>
        <v>13808.999999999998</v>
      </c>
      <c r="P63" s="43">
        <f t="shared" ref="P63:Q63" si="84">P124</f>
        <v>13808.999999999998</v>
      </c>
      <c r="Q63" s="43">
        <f t="shared" si="84"/>
        <v>13808.999999999998</v>
      </c>
    </row>
    <row r="64" spans="2:18" x14ac:dyDescent="0.3">
      <c r="D64" s="34" t="s">
        <v>190</v>
      </c>
      <c r="F64" s="34" t="s">
        <v>174</v>
      </c>
      <c r="H64" s="46">
        <f>SUM(Historical!J77:J80)</f>
        <v>2595.6000000000004</v>
      </c>
      <c r="I64" s="46">
        <f>SUM(Historical!K77:K80)</f>
        <v>3406.7</v>
      </c>
      <c r="J64" s="46">
        <f>SUM(Historical!L77:L80)</f>
        <v>5441.7</v>
      </c>
      <c r="K64" s="46">
        <f>SUM(Historical!M77:M80)</f>
        <v>6366.9</v>
      </c>
      <c r="L64" s="46">
        <f>SUM(Historical!N77:N80)</f>
        <v>7141.6</v>
      </c>
      <c r="M64" s="43">
        <f>L64</f>
        <v>7141.6</v>
      </c>
      <c r="N64" s="43">
        <f t="shared" ref="N64:Q64" si="85">M64</f>
        <v>7141.6</v>
      </c>
      <c r="O64" s="43">
        <f t="shared" si="85"/>
        <v>7141.6</v>
      </c>
      <c r="P64" s="43">
        <f t="shared" si="85"/>
        <v>7141.6</v>
      </c>
      <c r="Q64" s="43">
        <f t="shared" si="85"/>
        <v>7141.6</v>
      </c>
    </row>
    <row r="65" spans="1:17" x14ac:dyDescent="0.3">
      <c r="D65" s="39" t="s">
        <v>87</v>
      </c>
      <c r="E65" s="38"/>
      <c r="F65" s="38" t="s">
        <v>174</v>
      </c>
      <c r="G65" s="38"/>
      <c r="H65" s="44">
        <f t="shared" ref="H65:O65" si="86">SUM(H60:H64)</f>
        <v>39612.5</v>
      </c>
      <c r="I65" s="44">
        <f t="shared" si="86"/>
        <v>52218.6</v>
      </c>
      <c r="J65" s="44">
        <f t="shared" si="86"/>
        <v>43216.299999999996</v>
      </c>
      <c r="K65" s="44">
        <f t="shared" ref="K65:L65" si="87">SUM(K60:K64)</f>
        <v>48605</v>
      </c>
      <c r="L65" s="44">
        <f t="shared" si="87"/>
        <v>52574.699999999975</v>
      </c>
      <c r="M65" s="44">
        <f t="shared" si="86"/>
        <v>51761.770981346803</v>
      </c>
      <c r="N65" s="44">
        <f t="shared" si="86"/>
        <v>53313.702726482828</v>
      </c>
      <c r="O65" s="44">
        <f t="shared" si="86"/>
        <v>54783.071064272975</v>
      </c>
      <c r="P65" s="44">
        <f t="shared" ref="P65:Q65" si="88">SUM(P60:P64)</f>
        <v>56159.598307061933</v>
      </c>
      <c r="Q65" s="44">
        <f t="shared" si="88"/>
        <v>57437.193998127696</v>
      </c>
    </row>
    <row r="66" spans="1:17" x14ac:dyDescent="0.3">
      <c r="C66" s="40" t="s">
        <v>191</v>
      </c>
      <c r="H66" s="43"/>
      <c r="I66" s="43"/>
      <c r="J66" s="43"/>
      <c r="K66" s="43"/>
      <c r="L66" s="43"/>
      <c r="M66" s="43"/>
      <c r="N66" s="43"/>
      <c r="O66" s="43"/>
      <c r="P66" s="43"/>
      <c r="Q66" s="43"/>
    </row>
    <row r="67" spans="1:17" x14ac:dyDescent="0.3">
      <c r="D67" s="34" t="s">
        <v>192</v>
      </c>
      <c r="F67" s="34" t="s">
        <v>174</v>
      </c>
      <c r="H67" s="46">
        <f>Historical!J67</f>
        <v>239.1</v>
      </c>
      <c r="I67" s="46">
        <f>Historical!K67</f>
        <v>239.1</v>
      </c>
      <c r="J67" s="46">
        <f>Historical!L67</f>
        <v>239.1</v>
      </c>
      <c r="K67" s="46">
        <f>Historical!M67</f>
        <v>239.1</v>
      </c>
      <c r="L67" s="46">
        <f>Historical!N67</f>
        <v>239.1</v>
      </c>
      <c r="M67" s="43">
        <f>L67</f>
        <v>239.1</v>
      </c>
      <c r="N67" s="43">
        <f t="shared" ref="N67:Q67" si="89">M67</f>
        <v>239.1</v>
      </c>
      <c r="O67" s="43">
        <f t="shared" si="89"/>
        <v>239.1</v>
      </c>
      <c r="P67" s="43">
        <f t="shared" si="89"/>
        <v>239.1</v>
      </c>
      <c r="Q67" s="43">
        <f t="shared" si="89"/>
        <v>239.1</v>
      </c>
    </row>
    <row r="68" spans="1:17" x14ac:dyDescent="0.3">
      <c r="D68" s="34" t="s">
        <v>193</v>
      </c>
      <c r="F68" s="34" t="s">
        <v>174</v>
      </c>
      <c r="H68" s="46">
        <f>Historical!J68</f>
        <v>73528.2</v>
      </c>
      <c r="I68" s="46">
        <f>Historical!K68</f>
        <v>86139.9</v>
      </c>
      <c r="J68" s="46">
        <f>Historical!L68</f>
        <v>90213.8</v>
      </c>
      <c r="K68" s="46">
        <f>Historical!M68</f>
        <v>102881.5</v>
      </c>
      <c r="L68" s="46">
        <f>Historical!N68</f>
        <v>119609.60000000001</v>
      </c>
      <c r="M68" s="43">
        <f>L68+M38+M96</f>
        <v>134755.0392824547</v>
      </c>
      <c r="N68" s="43">
        <f t="shared" ref="N68:O68" si="90">M68+N38+N96</f>
        <v>151518.32832912254</v>
      </c>
      <c r="O68" s="43">
        <f t="shared" si="90"/>
        <v>169834.30177300985</v>
      </c>
      <c r="P68" s="43">
        <f t="shared" ref="P68" si="91">O68+P38+P96</f>
        <v>189622.68000617815</v>
      </c>
      <c r="Q68" s="43">
        <f t="shared" ref="Q68" si="92">P68+Q38+Q96</f>
        <v>210793.0393051024</v>
      </c>
    </row>
    <row r="69" spans="1:17" x14ac:dyDescent="0.3">
      <c r="D69" s="39" t="s">
        <v>194</v>
      </c>
      <c r="E69" s="38"/>
      <c r="F69" s="38" t="s">
        <v>174</v>
      </c>
      <c r="G69" s="38"/>
      <c r="H69" s="44">
        <f t="shared" ref="H69:O69" si="93">SUM(H67:H68)</f>
        <v>73767.3</v>
      </c>
      <c r="I69" s="44">
        <f t="shared" si="93"/>
        <v>86379</v>
      </c>
      <c r="J69" s="44">
        <f t="shared" si="93"/>
        <v>90452.900000000009</v>
      </c>
      <c r="K69" s="44">
        <f t="shared" ref="K69:L69" si="94">SUM(K67:K68)</f>
        <v>103120.6</v>
      </c>
      <c r="L69" s="44">
        <f t="shared" si="94"/>
        <v>119848.70000000001</v>
      </c>
      <c r="M69" s="44">
        <f t="shared" si="93"/>
        <v>134994.13928245471</v>
      </c>
      <c r="N69" s="44">
        <f t="shared" si="93"/>
        <v>151757.42832912254</v>
      </c>
      <c r="O69" s="44">
        <f t="shared" si="93"/>
        <v>170073.40177300986</v>
      </c>
      <c r="P69" s="44">
        <f t="shared" ref="P69:Q69" si="95">SUM(P67:P68)</f>
        <v>189861.78000617816</v>
      </c>
      <c r="Q69" s="44">
        <f t="shared" si="95"/>
        <v>211032.13930510241</v>
      </c>
    </row>
    <row r="70" spans="1:17" x14ac:dyDescent="0.3">
      <c r="D70" s="34" t="s">
        <v>195</v>
      </c>
      <c r="F70" s="34" t="s">
        <v>174</v>
      </c>
      <c r="H70" s="46">
        <f>Historical!J70</f>
        <v>1812.8</v>
      </c>
      <c r="I70" s="46">
        <f>Historical!K70</f>
        <v>2094.3000000000002</v>
      </c>
      <c r="J70" s="46">
        <f>Historical!L70</f>
        <v>3897.1</v>
      </c>
      <c r="K70" s="46">
        <f>Historical!M70</f>
        <v>4023.4</v>
      </c>
      <c r="L70" s="46">
        <f>Historical!N70</f>
        <v>4487.6000000000004</v>
      </c>
      <c r="M70" s="43">
        <f>L70</f>
        <v>4487.6000000000004</v>
      </c>
      <c r="N70" s="43">
        <f t="shared" ref="N70:Q70" si="96">M70</f>
        <v>4487.6000000000004</v>
      </c>
      <c r="O70" s="43">
        <f t="shared" si="96"/>
        <v>4487.6000000000004</v>
      </c>
      <c r="P70" s="43">
        <f t="shared" si="96"/>
        <v>4487.6000000000004</v>
      </c>
      <c r="Q70" s="43">
        <f t="shared" si="96"/>
        <v>4487.6000000000004</v>
      </c>
    </row>
    <row r="71" spans="1:17" ht="16.2" thickBot="1" x14ac:dyDescent="0.35">
      <c r="D71" s="47" t="s">
        <v>196</v>
      </c>
      <c r="E71" s="48"/>
      <c r="F71" s="48" t="s">
        <v>174</v>
      </c>
      <c r="G71" s="48"/>
      <c r="H71" s="49">
        <f t="shared" ref="H71:O71" si="97">SUM(H70,H69,H65)</f>
        <v>115192.6</v>
      </c>
      <c r="I71" s="49">
        <f t="shared" si="97"/>
        <v>140691.9</v>
      </c>
      <c r="J71" s="49">
        <f t="shared" si="97"/>
        <v>137566.30000000002</v>
      </c>
      <c r="K71" s="49">
        <f t="shared" ref="K71:L71" si="98">SUM(K70,K69,K65)</f>
        <v>155749</v>
      </c>
      <c r="L71" s="49">
        <f t="shared" si="98"/>
        <v>176911</v>
      </c>
      <c r="M71" s="49">
        <f>SUM(M70,M69,M65)</f>
        <v>191243.51026380152</v>
      </c>
      <c r="N71" s="49">
        <f t="shared" si="97"/>
        <v>209558.73105560537</v>
      </c>
      <c r="O71" s="49">
        <f t="shared" si="97"/>
        <v>229344.07283728285</v>
      </c>
      <c r="P71" s="49">
        <f t="shared" ref="P71:Q71" si="99">SUM(P70,P69,P65)</f>
        <v>250508.97831324011</v>
      </c>
      <c r="Q71" s="49">
        <f t="shared" si="99"/>
        <v>272956.93330323009</v>
      </c>
    </row>
    <row r="72" spans="1:17" ht="16.2" thickTop="1" x14ac:dyDescent="0.3">
      <c r="H72" s="43"/>
      <c r="I72" s="43"/>
      <c r="J72" s="43"/>
      <c r="K72" s="43"/>
      <c r="L72" s="43"/>
      <c r="M72" s="43"/>
      <c r="N72" s="43"/>
      <c r="O72" s="43"/>
      <c r="P72" s="43"/>
      <c r="Q72" s="43"/>
    </row>
    <row r="73" spans="1:17" x14ac:dyDescent="0.3">
      <c r="D73" s="51" t="s">
        <v>197</v>
      </c>
      <c r="E73" s="51"/>
      <c r="F73" s="51"/>
      <c r="G73" s="51"/>
      <c r="H73" s="52">
        <f t="shared" ref="H73:J73" si="100">H71-H56</f>
        <v>0</v>
      </c>
      <c r="I73" s="52">
        <f t="shared" si="100"/>
        <v>0</v>
      </c>
      <c r="J73" s="52">
        <f t="shared" si="100"/>
        <v>0</v>
      </c>
      <c r="K73" s="52">
        <f>K71-K56</f>
        <v>0</v>
      </c>
      <c r="L73" s="52">
        <f>L71-L56</f>
        <v>0</v>
      </c>
      <c r="M73" s="52">
        <f t="shared" ref="M73:Q73" si="101">M71-M56</f>
        <v>0</v>
      </c>
      <c r="N73" s="52">
        <f t="shared" si="101"/>
        <v>0</v>
      </c>
      <c r="O73" s="52">
        <f t="shared" si="101"/>
        <v>0</v>
      </c>
      <c r="P73" s="52">
        <f t="shared" si="101"/>
        <v>0</v>
      </c>
      <c r="Q73" s="52">
        <f t="shared" si="101"/>
        <v>0</v>
      </c>
    </row>
    <row r="74" spans="1:17" x14ac:dyDescent="0.3"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s="5" customFormat="1" ht="21" x14ac:dyDescent="0.4">
      <c r="A75" s="3" t="s">
        <v>199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x14ac:dyDescent="0.3">
      <c r="H76" s="43"/>
      <c r="I76" s="43"/>
      <c r="J76" s="43"/>
      <c r="K76" s="43"/>
      <c r="L76" s="43"/>
      <c r="M76" s="43"/>
      <c r="N76" s="43"/>
      <c r="O76" s="43"/>
      <c r="P76" s="43"/>
      <c r="Q76" s="43"/>
    </row>
    <row r="77" spans="1:17" x14ac:dyDescent="0.3">
      <c r="C77" s="40" t="s">
        <v>200</v>
      </c>
      <c r="H77" s="43"/>
      <c r="I77" s="43"/>
      <c r="J77" s="43"/>
      <c r="K77" s="43"/>
      <c r="L77" s="43"/>
      <c r="M77" s="43"/>
      <c r="N77" s="43"/>
      <c r="O77" s="43"/>
      <c r="P77" s="43"/>
      <c r="Q77" s="43"/>
    </row>
    <row r="78" spans="1:17" x14ac:dyDescent="0.3">
      <c r="D78" s="34" t="s">
        <v>169</v>
      </c>
      <c r="F78" s="34" t="s">
        <v>174</v>
      </c>
      <c r="H78" s="46">
        <f>SUM(Historical!J101,Historical!J128)</f>
        <v>14414.2</v>
      </c>
      <c r="I78" s="46">
        <f>SUM(Historical!K101,Historical!K128)</f>
        <v>14473.8</v>
      </c>
      <c r="J78" s="46">
        <f>SUM(Historical!L101,Historical!L128)</f>
        <v>10313.800000000001</v>
      </c>
      <c r="K78" s="46">
        <f>SUM(Historical!M101,Historical!M128)</f>
        <v>16161.9</v>
      </c>
      <c r="L78" s="46">
        <f>SUM(Historical!N101,Historical!N128)</f>
        <v>20230.099999999999</v>
      </c>
      <c r="M78" s="43">
        <f t="shared" ref="M78:O78" si="102">M38</f>
        <v>21698.684071395699</v>
      </c>
      <c r="N78" s="43">
        <f t="shared" si="102"/>
        <v>24016.557475656144</v>
      </c>
      <c r="O78" s="43">
        <f t="shared" si="102"/>
        <v>26241.06926230868</v>
      </c>
      <c r="P78" s="43">
        <f t="shared" ref="P78:Q78" si="103">P38</f>
        <v>28350.565444755477</v>
      </c>
      <c r="Q78" s="43">
        <f t="shared" si="103"/>
        <v>30330.512673703004</v>
      </c>
    </row>
    <row r="79" spans="1:17" x14ac:dyDescent="0.3">
      <c r="D79" s="34" t="s">
        <v>201</v>
      </c>
      <c r="F79" s="34" t="s">
        <v>174</v>
      </c>
      <c r="H79" s="46">
        <f>Historical!J103</f>
        <v>2745.8</v>
      </c>
      <c r="I79" s="46">
        <f>Historical!K103</f>
        <v>3039.6</v>
      </c>
      <c r="J79" s="46">
        <f>Historical!L103</f>
        <v>3104.2</v>
      </c>
      <c r="K79" s="46">
        <f>Historical!M103</f>
        <v>2993</v>
      </c>
      <c r="L79" s="46">
        <f>Historical!N103</f>
        <v>3571.6</v>
      </c>
      <c r="M79" s="43">
        <f t="shared" ref="M79:O79" si="104">-M118</f>
        <v>3420.4537798467368</v>
      </c>
      <c r="N79" s="43">
        <f t="shared" si="104"/>
        <v>3329.9065499870353</v>
      </c>
      <c r="O79" s="43">
        <f t="shared" si="104"/>
        <v>3209.6178831359812</v>
      </c>
      <c r="P79" s="43">
        <f t="shared" ref="P79:Q79" si="105">-P118</f>
        <v>3067.4612311360238</v>
      </c>
      <c r="Q79" s="43">
        <f t="shared" si="105"/>
        <v>2910.0655267412153</v>
      </c>
    </row>
    <row r="80" spans="1:17" x14ac:dyDescent="0.3">
      <c r="D80" s="34" t="s">
        <v>202</v>
      </c>
      <c r="F80" s="34" t="s">
        <v>174</v>
      </c>
      <c r="H80" s="46">
        <f>Historical!J118-Historical!J103</f>
        <v>-1099.4000000000001</v>
      </c>
      <c r="I80" s="46">
        <f>Historical!K118-Historical!K103</f>
        <v>-953.59999999999991</v>
      </c>
      <c r="J80" s="46">
        <f>Historical!L118-Historical!L103</f>
        <v>139.30000000000018</v>
      </c>
      <c r="K80" s="46">
        <f>Historical!M118-Historical!M103</f>
        <v>842.69999999999982</v>
      </c>
      <c r="L80" s="46">
        <f>Historical!N118-Historical!N103</f>
        <v>-2533.6</v>
      </c>
      <c r="M80" s="43">
        <f t="shared" ref="M80:O80" si="106">-M34-M35</f>
        <v>-2127.1707553459391</v>
      </c>
      <c r="N80" s="43">
        <f t="shared" si="106"/>
        <v>-2386.7907761821598</v>
      </c>
      <c r="O80" s="43">
        <f t="shared" si="106"/>
        <v>-2632.5989050955391</v>
      </c>
      <c r="P80" s="43">
        <f t="shared" ref="P80:Q80" si="107">-P34-P35</f>
        <v>-2862.8758052070007</v>
      </c>
      <c r="Q80" s="43">
        <f t="shared" si="107"/>
        <v>-3076.6026143752019</v>
      </c>
    </row>
    <row r="81" spans="3:17" x14ac:dyDescent="0.3">
      <c r="D81" s="34" t="s">
        <v>203</v>
      </c>
      <c r="F81" s="34" t="s">
        <v>174</v>
      </c>
      <c r="H81" s="54">
        <f t="shared" ref="H81:J81" si="108">H113</f>
        <v>-3411.6000000000004</v>
      </c>
      <c r="I81" s="54">
        <f t="shared" si="108"/>
        <v>-5449.6</v>
      </c>
      <c r="J81" s="54">
        <f t="shared" si="108"/>
        <v>3267.7000000000003</v>
      </c>
      <c r="K81" s="54">
        <f t="shared" ref="K81:L81" si="109">K113</f>
        <v>-516.90000000000009</v>
      </c>
      <c r="L81" s="54">
        <f t="shared" si="109"/>
        <v>-2139.7000000000003</v>
      </c>
      <c r="M81" s="43">
        <f t="shared" ref="M81:O81" si="110">M113</f>
        <v>-7368.2661023579567</v>
      </c>
      <c r="N81" s="43">
        <f t="shared" si="110"/>
        <v>-3783.6037728650881</v>
      </c>
      <c r="O81" s="43">
        <f t="shared" si="110"/>
        <v>-3582.3144954767522</v>
      </c>
      <c r="P81" s="43">
        <f t="shared" ref="P81:Q81" si="111">P113</f>
        <v>-3355.9682541395523</v>
      </c>
      <c r="Q81" s="43">
        <f t="shared" si="111"/>
        <v>-3114.7735021612898</v>
      </c>
    </row>
    <row r="82" spans="3:17" x14ac:dyDescent="0.3">
      <c r="D82" s="39" t="s">
        <v>204</v>
      </c>
      <c r="E82" s="38"/>
      <c r="F82" s="38" t="s">
        <v>174</v>
      </c>
      <c r="G82" s="38"/>
      <c r="H82" s="44">
        <f t="shared" ref="H82:O82" si="112">SUM(H78:H81)</f>
        <v>12649</v>
      </c>
      <c r="I82" s="44">
        <f t="shared" si="112"/>
        <v>11110.199999999999</v>
      </c>
      <c r="J82" s="44">
        <f t="shared" si="112"/>
        <v>16825</v>
      </c>
      <c r="K82" s="44">
        <f t="shared" ref="K82:L82" si="113">SUM(K78:K81)</f>
        <v>19480.7</v>
      </c>
      <c r="L82" s="44">
        <f t="shared" si="113"/>
        <v>19128.399999999998</v>
      </c>
      <c r="M82" s="44">
        <f t="shared" si="112"/>
        <v>15623.700993538539</v>
      </c>
      <c r="N82" s="44">
        <f t="shared" si="112"/>
        <v>21176.069476595931</v>
      </c>
      <c r="O82" s="44">
        <f t="shared" si="112"/>
        <v>23235.773744872367</v>
      </c>
      <c r="P82" s="44">
        <f t="shared" ref="P82:Q82" si="114">SUM(P78:P81)</f>
        <v>25199.182616544949</v>
      </c>
      <c r="Q82" s="44">
        <f t="shared" si="114"/>
        <v>27049.20208390773</v>
      </c>
    </row>
    <row r="83" spans="3:17" x14ac:dyDescent="0.3">
      <c r="H83" s="43"/>
      <c r="I83" s="43"/>
      <c r="J83" s="43"/>
      <c r="K83" s="43"/>
      <c r="L83" s="43"/>
      <c r="M83" s="43"/>
      <c r="N83" s="43"/>
      <c r="O83" s="43"/>
      <c r="P83" s="43"/>
      <c r="Q83" s="43"/>
    </row>
    <row r="84" spans="3:17" x14ac:dyDescent="0.3">
      <c r="C84" s="40" t="s">
        <v>205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</row>
    <row r="85" spans="3:17" x14ac:dyDescent="0.3">
      <c r="D85" s="34" t="s">
        <v>206</v>
      </c>
      <c r="F85" s="34" t="s">
        <v>174</v>
      </c>
      <c r="H85" s="46">
        <f>Historical!J131</f>
        <v>-1949.1</v>
      </c>
      <c r="I85" s="46">
        <f>Historical!K131</f>
        <v>-3388.8</v>
      </c>
      <c r="J85" s="46">
        <f>Historical!L131</f>
        <v>-2329.1</v>
      </c>
      <c r="K85" s="46">
        <f>Historical!M131</f>
        <v>-2592.9</v>
      </c>
      <c r="L85" s="46">
        <f>Historical!N131</f>
        <v>-6756.2</v>
      </c>
      <c r="M85" s="43">
        <f>-M117</f>
        <v>-2651.2353366242191</v>
      </c>
      <c r="N85" s="43">
        <f t="shared" ref="N85:O85" si="115">-N117</f>
        <v>-2308.0281204000889</v>
      </c>
      <c r="O85" s="43">
        <f t="shared" si="115"/>
        <v>-2001.9661558046903</v>
      </c>
      <c r="P85" s="43">
        <f t="shared" ref="P85:Q85" si="116">-P117</f>
        <v>-1730.3504339080982</v>
      </c>
      <c r="Q85" s="43">
        <f t="shared" si="116"/>
        <v>-1490.6444680416205</v>
      </c>
    </row>
    <row r="86" spans="3:17" x14ac:dyDescent="0.3">
      <c r="D86" s="34" t="s">
        <v>207</v>
      </c>
      <c r="F86" s="34" t="s">
        <v>174</v>
      </c>
      <c r="H86" s="46">
        <f>Historical!J132</f>
        <v>104.6</v>
      </c>
      <c r="I86" s="46">
        <f>Historical!K132</f>
        <v>109</v>
      </c>
      <c r="J86" s="46">
        <f>Historical!L132</f>
        <v>32</v>
      </c>
      <c r="K86" s="46">
        <f>Historical!M132</f>
        <v>724.8</v>
      </c>
      <c r="L86" s="46">
        <f>Historical!N132</f>
        <v>408.4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</row>
    <row r="87" spans="3:17" x14ac:dyDescent="0.3">
      <c r="D87" s="34" t="s">
        <v>208</v>
      </c>
      <c r="F87" s="34" t="s">
        <v>174</v>
      </c>
      <c r="H87" s="46">
        <f>SUM(Historical!J133:J136)</f>
        <v>-8935.1999999999989</v>
      </c>
      <c r="I87" s="46">
        <f>SUM(Historical!K133:K136)</f>
        <v>-12051.099999999999</v>
      </c>
      <c r="J87" s="46">
        <f>SUM(Historical!L133:L136)</f>
        <v>1954.5</v>
      </c>
      <c r="K87" s="46">
        <f>SUM(Historical!M133:M136)</f>
        <v>-10611.600000000002</v>
      </c>
      <c r="L87" s="46">
        <f>SUM(Historical!N133:N136)</f>
        <v>-10118.600000000006</v>
      </c>
      <c r="M87" s="43">
        <v>0</v>
      </c>
      <c r="N87" s="43">
        <f t="shared" ref="N87:O87" si="117">M54-N54</f>
        <v>0</v>
      </c>
      <c r="O87" s="43">
        <f t="shared" si="117"/>
        <v>0</v>
      </c>
      <c r="P87" s="43">
        <f t="shared" ref="P87" si="118">O54-P54</f>
        <v>0</v>
      </c>
      <c r="Q87" s="43">
        <f t="shared" ref="Q87" si="119">P54-Q54</f>
        <v>0</v>
      </c>
    </row>
    <row r="88" spans="3:17" x14ac:dyDescent="0.3">
      <c r="D88" s="34" t="s">
        <v>126</v>
      </c>
      <c r="F88" s="34" t="s">
        <v>174</v>
      </c>
      <c r="H88" s="46">
        <f>Historical!J137</f>
        <v>0.2</v>
      </c>
      <c r="I88" s="46">
        <f>Historical!K137</f>
        <v>1.9</v>
      </c>
      <c r="J88" s="46">
        <f>Historical!L137</f>
        <v>1.9</v>
      </c>
      <c r="K88" s="46">
        <f>Historical!M137</f>
        <v>1.9</v>
      </c>
      <c r="L88" s="46">
        <f>Historical!N137</f>
        <v>1.7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</row>
    <row r="89" spans="3:17" x14ac:dyDescent="0.3">
      <c r="D89" s="34" t="s">
        <v>127</v>
      </c>
      <c r="F89" s="34" t="s">
        <v>174</v>
      </c>
      <c r="H89" s="46">
        <f>Historical!J138</f>
        <v>785.7</v>
      </c>
      <c r="I89" s="46">
        <f>Historical!K138</f>
        <v>977.7</v>
      </c>
      <c r="J89" s="46">
        <f>Historical!L138</f>
        <v>1469.1</v>
      </c>
      <c r="K89" s="46">
        <f>Historical!M138</f>
        <v>2392.8000000000002</v>
      </c>
      <c r="L89" s="46">
        <f>Historical!N138</f>
        <v>3477.1</v>
      </c>
      <c r="M89" s="43">
        <f>M35</f>
        <v>2941.0238039108294</v>
      </c>
      <c r="N89" s="43">
        <f t="shared" ref="N89:O89" si="120">N35</f>
        <v>3200.6438247470501</v>
      </c>
      <c r="O89" s="43">
        <f t="shared" si="120"/>
        <v>3446.4519536604294</v>
      </c>
      <c r="P89" s="43">
        <f t="shared" ref="P89:Q89" si="121">P35</f>
        <v>3676.728853771891</v>
      </c>
      <c r="Q89" s="43">
        <f t="shared" si="121"/>
        <v>3890.4556629400922</v>
      </c>
    </row>
    <row r="90" spans="3:17" x14ac:dyDescent="0.3">
      <c r="D90" s="34" t="s">
        <v>128</v>
      </c>
      <c r="F90" s="34" t="s">
        <v>174</v>
      </c>
      <c r="H90" s="46">
        <f>Historical!J139</f>
        <v>8.4</v>
      </c>
      <c r="I90" s="46">
        <f>Historical!K139</f>
        <v>0</v>
      </c>
      <c r="J90" s="46">
        <f>Historical!L139</f>
        <v>0</v>
      </c>
      <c r="K90" s="46">
        <f>Historical!M139</f>
        <v>0</v>
      </c>
      <c r="L90" s="46">
        <f>Historical!N139</f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</row>
    <row r="91" spans="3:17" x14ac:dyDescent="0.3">
      <c r="D91" s="39" t="s">
        <v>209</v>
      </c>
      <c r="E91" s="38"/>
      <c r="F91" s="38" t="s">
        <v>174</v>
      </c>
      <c r="G91" s="38"/>
      <c r="H91" s="44">
        <f t="shared" ref="H91:O91" si="122">SUM(H85:H90)</f>
        <v>-9985.3999999999978</v>
      </c>
      <c r="I91" s="44">
        <f t="shared" si="122"/>
        <v>-14351.299999999997</v>
      </c>
      <c r="J91" s="44">
        <f t="shared" si="122"/>
        <v>1128.4000000000001</v>
      </c>
      <c r="K91" s="44">
        <f t="shared" ref="K91:L91" si="123">SUM(K85:K90)</f>
        <v>-10085.000000000004</v>
      </c>
      <c r="L91" s="44">
        <f t="shared" si="123"/>
        <v>-12987.600000000004</v>
      </c>
      <c r="M91" s="44">
        <f t="shared" si="122"/>
        <v>289.78846728661028</v>
      </c>
      <c r="N91" s="44">
        <f t="shared" si="122"/>
        <v>892.61570434696114</v>
      </c>
      <c r="O91" s="44">
        <f t="shared" si="122"/>
        <v>1444.4857978557391</v>
      </c>
      <c r="P91" s="44">
        <f t="shared" ref="P91:Q91" si="124">SUM(P85:P90)</f>
        <v>1946.3784198637927</v>
      </c>
      <c r="Q91" s="44">
        <f t="shared" si="124"/>
        <v>2399.8111948984715</v>
      </c>
    </row>
    <row r="92" spans="3:17" x14ac:dyDescent="0.3">
      <c r="H92" s="43"/>
      <c r="I92" s="43"/>
      <c r="J92" s="43"/>
      <c r="K92" s="43"/>
      <c r="L92" s="43"/>
      <c r="M92" s="43"/>
      <c r="N92" s="43"/>
      <c r="O92" s="43"/>
      <c r="P92" s="43"/>
      <c r="Q92" s="43"/>
    </row>
    <row r="93" spans="3:17" x14ac:dyDescent="0.3">
      <c r="C93" s="40" t="s">
        <v>210</v>
      </c>
      <c r="H93" s="43"/>
      <c r="I93" s="43"/>
      <c r="J93" s="43"/>
      <c r="K93" s="43"/>
      <c r="L93" s="43"/>
      <c r="M93" s="43"/>
      <c r="N93" s="43"/>
      <c r="O93" s="43"/>
      <c r="P93" s="43"/>
      <c r="Q93" s="43"/>
    </row>
    <row r="94" spans="3:17" x14ac:dyDescent="0.3">
      <c r="D94" s="34" t="s">
        <v>211</v>
      </c>
      <c r="F94" s="34" t="s">
        <v>174</v>
      </c>
      <c r="H94" s="46">
        <f>SUM(Historical!J142:J143,Historical!J146)</f>
        <v>1166.5000000000002</v>
      </c>
      <c r="I94" s="46">
        <f>SUM(Historical!K142:K143,Historical!K146)</f>
        <v>8416.1</v>
      </c>
      <c r="J94" s="46">
        <f>SUM(Historical!L142:L143,Historical!L146)</f>
        <v>-13023.199999999999</v>
      </c>
      <c r="K94" s="46">
        <f>SUM(Historical!M142:M143,Historical!M146)</f>
        <v>-5132.0999999999995</v>
      </c>
      <c r="L94" s="46">
        <f>SUM(Historical!N142:N143,Historical!N146)</f>
        <v>-2257.6000000000004</v>
      </c>
      <c r="M94" s="43">
        <f t="shared" ref="M94:O94" si="125">M123</f>
        <v>0</v>
      </c>
      <c r="N94" s="43">
        <f t="shared" si="125"/>
        <v>0</v>
      </c>
      <c r="O94" s="43">
        <f t="shared" si="125"/>
        <v>0</v>
      </c>
      <c r="P94" s="43">
        <f t="shared" ref="P94:Q94" si="126">P123</f>
        <v>0</v>
      </c>
      <c r="Q94" s="43">
        <f t="shared" si="126"/>
        <v>0</v>
      </c>
    </row>
    <row r="95" spans="3:17" x14ac:dyDescent="0.3">
      <c r="D95" s="34" t="s">
        <v>212</v>
      </c>
      <c r="F95" s="34" t="s">
        <v>174</v>
      </c>
      <c r="H95" s="46">
        <f>Historical!J144</f>
        <v>0</v>
      </c>
      <c r="I95" s="46">
        <f>Historical!K144</f>
        <v>0</v>
      </c>
      <c r="J95" s="46">
        <f>Historical!L144</f>
        <v>1614.8</v>
      </c>
      <c r="K95" s="46">
        <f>Historical!M144</f>
        <v>0</v>
      </c>
      <c r="L95" s="46">
        <f>Historical!N144</f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</row>
    <row r="96" spans="3:17" x14ac:dyDescent="0.3">
      <c r="D96" s="34" t="s">
        <v>213</v>
      </c>
      <c r="F96" s="34" t="s">
        <v>174</v>
      </c>
      <c r="H96" s="46">
        <f>Historical!J145</f>
        <v>-3347.8</v>
      </c>
      <c r="I96" s="46">
        <f>Historical!K145</f>
        <v>-4219.1000000000004</v>
      </c>
      <c r="J96" s="46">
        <f>Historical!L145</f>
        <v>-5295.2</v>
      </c>
      <c r="K96" s="46">
        <f>Historical!M145</f>
        <v>-5404.9</v>
      </c>
      <c r="L96" s="46">
        <f>Historical!N145</f>
        <v>-5046.2</v>
      </c>
      <c r="M96" s="43">
        <f t="shared" ref="M96:O96" si="127">-M38*M16</f>
        <v>-6553.2447889410078</v>
      </c>
      <c r="N96" s="43">
        <f t="shared" si="127"/>
        <v>-7253.2684289883045</v>
      </c>
      <c r="O96" s="43">
        <f t="shared" si="127"/>
        <v>-7925.0958184213687</v>
      </c>
      <c r="P96" s="43">
        <f t="shared" ref="P96:Q96" si="128">-P38*P16</f>
        <v>-8562.1872115871865</v>
      </c>
      <c r="Q96" s="43">
        <f t="shared" si="128"/>
        <v>-9160.153374778758</v>
      </c>
    </row>
    <row r="97" spans="1:17" x14ac:dyDescent="0.3">
      <c r="D97" s="34" t="s">
        <v>214</v>
      </c>
      <c r="F97" s="34" t="s">
        <v>174</v>
      </c>
      <c r="H97" s="46">
        <f>Historical!J147</f>
        <v>-536.20000000000005</v>
      </c>
      <c r="I97" s="46">
        <f>Historical!K147</f>
        <v>-401.3</v>
      </c>
      <c r="J97" s="46">
        <f>Historical!L147</f>
        <v>-904.6</v>
      </c>
      <c r="K97" s="46">
        <f>Historical!M147</f>
        <v>-913.1</v>
      </c>
      <c r="L97" s="46">
        <f>Historical!N147</f>
        <v>-806.1</v>
      </c>
      <c r="M97" s="43">
        <f t="shared" ref="M97:O97" si="129">M34</f>
        <v>-813.85304856489029</v>
      </c>
      <c r="N97" s="43">
        <f t="shared" si="129"/>
        <v>-813.85304856489029</v>
      </c>
      <c r="O97" s="43">
        <f t="shared" si="129"/>
        <v>-813.85304856489029</v>
      </c>
      <c r="P97" s="43">
        <f t="shared" ref="P97:Q97" si="130">P34</f>
        <v>-813.85304856489029</v>
      </c>
      <c r="Q97" s="43">
        <f t="shared" si="130"/>
        <v>-813.85304856489029</v>
      </c>
    </row>
    <row r="98" spans="1:17" x14ac:dyDescent="0.3">
      <c r="D98" s="39" t="s">
        <v>215</v>
      </c>
      <c r="E98" s="38"/>
      <c r="F98" s="38" t="s">
        <v>174</v>
      </c>
      <c r="G98" s="38"/>
      <c r="H98" s="44">
        <f t="shared" ref="H98:O98" si="131">SUM(H94:H97)</f>
        <v>-2717.5</v>
      </c>
      <c r="I98" s="44">
        <f t="shared" si="131"/>
        <v>3795.7</v>
      </c>
      <c r="J98" s="44">
        <f t="shared" si="131"/>
        <v>-17608.199999999997</v>
      </c>
      <c r="K98" s="44">
        <f t="shared" ref="K98:L98" si="132">SUM(K94:K97)</f>
        <v>-11450.1</v>
      </c>
      <c r="L98" s="44">
        <f t="shared" si="132"/>
        <v>-8109.9000000000005</v>
      </c>
      <c r="M98" s="44">
        <f>SUM(M94:M97)</f>
        <v>-7367.0978375058985</v>
      </c>
      <c r="N98" s="44">
        <f t="shared" si="131"/>
        <v>-8067.1214775531953</v>
      </c>
      <c r="O98" s="44">
        <f t="shared" si="131"/>
        <v>-8738.9488669862585</v>
      </c>
      <c r="P98" s="44">
        <f t="shared" ref="P98:Q98" si="133">SUM(P94:P97)</f>
        <v>-9376.0402601520764</v>
      </c>
      <c r="Q98" s="44">
        <f t="shared" si="133"/>
        <v>-9974.0064233436478</v>
      </c>
    </row>
    <row r="99" spans="1:17" x14ac:dyDescent="0.3">
      <c r="H99" s="43"/>
      <c r="I99" s="43"/>
      <c r="J99" s="43"/>
      <c r="K99" s="43"/>
      <c r="L99" s="43"/>
      <c r="M99" s="43"/>
      <c r="N99" s="43"/>
      <c r="O99" s="43"/>
      <c r="P99" s="43"/>
      <c r="Q99" s="43"/>
    </row>
    <row r="100" spans="1:17" x14ac:dyDescent="0.3">
      <c r="D100" s="34" t="s">
        <v>216</v>
      </c>
      <c r="F100" s="34" t="s">
        <v>174</v>
      </c>
      <c r="H100" s="46">
        <f t="shared" ref="H100:O100" si="134">SUM(H98,H91,H82)</f>
        <v>-53.899999999997817</v>
      </c>
      <c r="I100" s="46">
        <f t="shared" si="134"/>
        <v>554.60000000000036</v>
      </c>
      <c r="J100" s="46">
        <f t="shared" si="134"/>
        <v>345.20000000000437</v>
      </c>
      <c r="K100" s="46">
        <f t="shared" ref="K100" si="135">SUM(K98,K91,K82)</f>
        <v>-2054.4000000000051</v>
      </c>
      <c r="L100" s="46">
        <f>SUM(L98,L91,L82)</f>
        <v>-1969.1000000000058</v>
      </c>
      <c r="M100" s="43">
        <f>SUM(M98,M91,M82)+4242.30000000002</f>
        <v>12788.691623319271</v>
      </c>
      <c r="N100" s="43">
        <f t="shared" si="134"/>
        <v>14001.563703389696</v>
      </c>
      <c r="O100" s="43">
        <f t="shared" si="134"/>
        <v>15941.310675741848</v>
      </c>
      <c r="P100" s="43">
        <f t="shared" ref="P100:Q100" si="136">SUM(P98,P91,P82)</f>
        <v>17769.520776256664</v>
      </c>
      <c r="Q100" s="43">
        <f t="shared" si="136"/>
        <v>19475.006855462554</v>
      </c>
    </row>
    <row r="101" spans="1:17" x14ac:dyDescent="0.3">
      <c r="D101" s="34" t="s">
        <v>217</v>
      </c>
      <c r="F101" s="34" t="s">
        <v>174</v>
      </c>
      <c r="H101" s="46">
        <f>SUM(Historical!J150:J151)</f>
        <v>1796.1000000000001</v>
      </c>
      <c r="I101" s="46">
        <f>SUM(Historical!K150:K151)</f>
        <v>1767.2</v>
      </c>
      <c r="J101" s="46">
        <f>SUM(Historical!L150:L151)</f>
        <v>2392.8000000000002</v>
      </c>
      <c r="K101" s="46">
        <f>SUM(Historical!M150:M151)</f>
        <v>2717.5</v>
      </c>
      <c r="L101" s="46">
        <f>SUM(Historical!N150:N151)</f>
        <v>768.2</v>
      </c>
      <c r="M101" s="43">
        <f>L102</f>
        <v>-1200.9000000000058</v>
      </c>
      <c r="N101" s="43">
        <f>M102</f>
        <v>11587.791623319266</v>
      </c>
      <c r="O101" s="43">
        <f t="shared" ref="O101" si="137">N102</f>
        <v>25589.355326708963</v>
      </c>
      <c r="P101" s="43">
        <f t="shared" ref="P101" si="138">O102</f>
        <v>41530.666002450809</v>
      </c>
      <c r="Q101" s="43">
        <f t="shared" ref="Q101" si="139">P102</f>
        <v>59300.186778707473</v>
      </c>
    </row>
    <row r="102" spans="1:17" x14ac:dyDescent="0.3">
      <c r="D102" s="39" t="s">
        <v>218</v>
      </c>
      <c r="E102" s="38"/>
      <c r="F102" s="38" t="s">
        <v>174</v>
      </c>
      <c r="G102" s="38"/>
      <c r="H102" s="44">
        <f t="shared" ref="H102:O102" si="140">SUM(H100:H101)</f>
        <v>1742.2000000000023</v>
      </c>
      <c r="I102" s="44">
        <f t="shared" si="140"/>
        <v>2321.8000000000002</v>
      </c>
      <c r="J102" s="44">
        <f t="shared" si="140"/>
        <v>2738.0000000000045</v>
      </c>
      <c r="K102" s="44">
        <f t="shared" ref="K102" si="141">SUM(K100:K101)</f>
        <v>663.09999999999491</v>
      </c>
      <c r="L102" s="44">
        <f>SUM(L100:L101)</f>
        <v>-1200.9000000000058</v>
      </c>
      <c r="M102" s="44">
        <f>SUM(M100:M101)</f>
        <v>11587.791623319266</v>
      </c>
      <c r="N102" s="44">
        <f t="shared" si="140"/>
        <v>25589.355326708963</v>
      </c>
      <c r="O102" s="44">
        <f t="shared" si="140"/>
        <v>41530.666002450809</v>
      </c>
      <c r="P102" s="44">
        <f t="shared" ref="P102:Q102" si="142">SUM(P100:P101)</f>
        <v>59300.186778707473</v>
      </c>
      <c r="Q102" s="44">
        <f t="shared" si="142"/>
        <v>78775.19363417002</v>
      </c>
    </row>
    <row r="103" spans="1:17" x14ac:dyDescent="0.3">
      <c r="H103" s="43"/>
      <c r="I103" s="43"/>
      <c r="J103" s="43"/>
      <c r="K103" s="43"/>
      <c r="L103" s="43"/>
      <c r="M103" s="43"/>
      <c r="N103" s="43"/>
      <c r="O103" s="43"/>
      <c r="P103" s="43"/>
      <c r="Q103" s="43"/>
    </row>
    <row r="104" spans="1:17" x14ac:dyDescent="0.3">
      <c r="H104" s="43"/>
      <c r="I104" s="43"/>
      <c r="J104" s="43"/>
      <c r="K104" s="43"/>
      <c r="L104" s="43"/>
      <c r="M104" s="43"/>
      <c r="N104" s="43"/>
      <c r="O104" s="43"/>
      <c r="P104" s="43"/>
      <c r="Q104" s="43"/>
    </row>
    <row r="105" spans="1:17" x14ac:dyDescent="0.3">
      <c r="H105" s="43"/>
      <c r="I105" s="43"/>
      <c r="J105" s="43"/>
      <c r="K105" s="43"/>
      <c r="L105" s="43"/>
      <c r="M105" s="43"/>
      <c r="N105" s="43"/>
      <c r="O105" s="43"/>
      <c r="P105" s="43"/>
      <c r="Q105" s="43"/>
    </row>
    <row r="106" spans="1:17" s="5" customFormat="1" ht="21" x14ac:dyDescent="0.4">
      <c r="A106" s="3" t="s">
        <v>219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x14ac:dyDescent="0.3">
      <c r="H107" s="43"/>
      <c r="I107" s="43"/>
      <c r="J107" s="43"/>
      <c r="K107" s="43"/>
      <c r="L107" s="43"/>
      <c r="M107" s="43"/>
      <c r="N107" s="43"/>
      <c r="O107" s="43"/>
      <c r="P107" s="43"/>
      <c r="Q107" s="43"/>
    </row>
    <row r="108" spans="1:17" x14ac:dyDescent="0.3">
      <c r="C108" s="40" t="s">
        <v>220</v>
      </c>
      <c r="H108" s="43"/>
      <c r="I108" s="43"/>
      <c r="J108" s="43"/>
      <c r="K108" s="43"/>
      <c r="L108" s="43"/>
      <c r="M108" s="43"/>
      <c r="N108" s="43"/>
      <c r="O108" s="43"/>
      <c r="P108" s="43"/>
      <c r="Q108" s="43"/>
    </row>
    <row r="109" spans="1:17" x14ac:dyDescent="0.3">
      <c r="D109" s="34" t="s">
        <v>177</v>
      </c>
      <c r="F109" s="34" t="s">
        <v>174</v>
      </c>
      <c r="H109" s="46">
        <f>Historical!J121</f>
        <v>-257.60000000000002</v>
      </c>
      <c r="I109" s="46">
        <f>Historical!K121</f>
        <v>-2217.5</v>
      </c>
      <c r="J109" s="46">
        <f>Historical!L121</f>
        <v>-1347.1</v>
      </c>
      <c r="K109" s="46">
        <f>Historical!M121</f>
        <v>-2219.9</v>
      </c>
      <c r="L109" s="46">
        <f>Historical!N121</f>
        <v>-2185.5</v>
      </c>
      <c r="M109" s="43">
        <f t="shared" ref="M109:Q110" si="143">L47-M47</f>
        <v>-1338.7874976309104</v>
      </c>
      <c r="N109" s="43">
        <f t="shared" si="143"/>
        <v>-2295.2737726661981</v>
      </c>
      <c r="O109" s="43">
        <f t="shared" si="143"/>
        <v>-2173.1642636256875</v>
      </c>
      <c r="P109" s="43">
        <f t="shared" si="143"/>
        <v>-2035.8542749295266</v>
      </c>
      <c r="Q109" s="43">
        <f t="shared" si="143"/>
        <v>-1889.5366313404302</v>
      </c>
    </row>
    <row r="110" spans="1:17" x14ac:dyDescent="0.3">
      <c r="D110" s="34" t="s">
        <v>178</v>
      </c>
      <c r="F110" s="34" t="s">
        <v>174</v>
      </c>
      <c r="H110" s="46">
        <f>Historical!J123</f>
        <v>-4977</v>
      </c>
      <c r="I110" s="46">
        <f>Historical!K123</f>
        <v>-6731.4</v>
      </c>
      <c r="J110" s="46">
        <f>Historical!L123</f>
        <v>4734.1000000000004</v>
      </c>
      <c r="K110" s="46">
        <f>Historical!M123</f>
        <v>-734</v>
      </c>
      <c r="L110" s="46">
        <f>Historical!N123</f>
        <v>-2612.3000000000002</v>
      </c>
      <c r="M110" s="43">
        <f t="shared" si="143"/>
        <v>-5216.5495860738738</v>
      </c>
      <c r="N110" s="43">
        <f t="shared" si="143"/>
        <v>-3040.2617453349158</v>
      </c>
      <c r="O110" s="43">
        <f t="shared" si="143"/>
        <v>-2878.5185696412154</v>
      </c>
      <c r="P110" s="43">
        <f t="shared" si="143"/>
        <v>-2696.6412219989797</v>
      </c>
      <c r="Q110" s="43">
        <f t="shared" si="143"/>
        <v>-2502.832561886622</v>
      </c>
    </row>
    <row r="111" spans="1:17" x14ac:dyDescent="0.3">
      <c r="D111" s="34" t="s">
        <v>186</v>
      </c>
      <c r="F111" s="34" t="s">
        <v>174</v>
      </c>
      <c r="H111" s="46">
        <f>Historical!J124</f>
        <v>2124.1999999999998</v>
      </c>
      <c r="I111" s="46">
        <f>Historical!K124</f>
        <v>3344.9</v>
      </c>
      <c r="J111" s="46">
        <f>Historical!L124</f>
        <v>145.1</v>
      </c>
      <c r="K111" s="46">
        <f>Historical!M124</f>
        <v>5252.8</v>
      </c>
      <c r="L111" s="46">
        <f>Historical!N124</f>
        <v>2166.5</v>
      </c>
      <c r="M111" s="43">
        <f>M60-L60</f>
        <v>-812.92901865317253</v>
      </c>
      <c r="N111" s="43">
        <f>N60-M60</f>
        <v>1551.9317451360257</v>
      </c>
      <c r="O111" s="43">
        <f>O60-N60</f>
        <v>1469.3683377901507</v>
      </c>
      <c r="P111" s="43">
        <f>P60-O60</f>
        <v>1376.527242788954</v>
      </c>
      <c r="Q111" s="43">
        <f>Q60-P60</f>
        <v>1277.5956910657624</v>
      </c>
    </row>
    <row r="112" spans="1:17" x14ac:dyDescent="0.3">
      <c r="D112" s="34" t="s">
        <v>221</v>
      </c>
      <c r="F112" s="34" t="s">
        <v>174</v>
      </c>
      <c r="H112" s="46">
        <f>SUM(Historical!J122,Historical!J125)</f>
        <v>-301.20000000000005</v>
      </c>
      <c r="I112" s="46">
        <f>SUM(Historical!K122,Historical!K125)</f>
        <v>154.40000000000003</v>
      </c>
      <c r="J112" s="46">
        <f>SUM(Historical!L122,Historical!L125)</f>
        <v>-264.40000000000003</v>
      </c>
      <c r="K112" s="46">
        <f>SUM(Historical!M122,Historical!M125)</f>
        <v>-2815.8</v>
      </c>
      <c r="L112" s="46">
        <f>SUM(Historical!N122,Historical!N125)</f>
        <v>491.6</v>
      </c>
      <c r="M112" s="43">
        <f>(L49-M49)+(M64-L64)</f>
        <v>0</v>
      </c>
      <c r="N112" s="43">
        <f>(M49-N49)+(N64-M64)</f>
        <v>0</v>
      </c>
      <c r="O112" s="43">
        <f>(N49-O49)+(O64-N64)</f>
        <v>0</v>
      </c>
      <c r="P112" s="43">
        <f>(O49-P49)+(P64-O64)</f>
        <v>0</v>
      </c>
      <c r="Q112" s="43">
        <f>(P49-Q49)+(Q64-P64)</f>
        <v>0</v>
      </c>
    </row>
    <row r="113" spans="1:17" x14ac:dyDescent="0.3">
      <c r="D113" s="39" t="s">
        <v>222</v>
      </c>
      <c r="E113" s="38"/>
      <c r="F113" s="38" t="s">
        <v>174</v>
      </c>
      <c r="G113" s="38"/>
      <c r="H113" s="44">
        <f t="shared" ref="H113:O113" si="144">SUM(H109:H112)</f>
        <v>-3411.6000000000004</v>
      </c>
      <c r="I113" s="44">
        <f t="shared" si="144"/>
        <v>-5449.6</v>
      </c>
      <c r="J113" s="44">
        <f t="shared" si="144"/>
        <v>3267.7000000000003</v>
      </c>
      <c r="K113" s="44">
        <f t="shared" ref="K113:L113" si="145">SUM(K109:K112)</f>
        <v>-516.90000000000009</v>
      </c>
      <c r="L113" s="44">
        <f t="shared" si="145"/>
        <v>-2139.7000000000003</v>
      </c>
      <c r="M113" s="44">
        <f t="shared" si="144"/>
        <v>-7368.2661023579567</v>
      </c>
      <c r="N113" s="44">
        <f t="shared" si="144"/>
        <v>-3783.6037728650881</v>
      </c>
      <c r="O113" s="44">
        <f t="shared" si="144"/>
        <v>-3582.3144954767522</v>
      </c>
      <c r="P113" s="44">
        <f t="shared" ref="P113:Q113" si="146">SUM(P109:P112)</f>
        <v>-3355.9682541395523</v>
      </c>
      <c r="Q113" s="44">
        <f t="shared" si="146"/>
        <v>-3114.7735021612898</v>
      </c>
    </row>
    <row r="114" spans="1:17" x14ac:dyDescent="0.3">
      <c r="H114" s="43"/>
      <c r="I114" s="43"/>
      <c r="J114" s="43"/>
      <c r="K114" s="43"/>
      <c r="L114" s="43"/>
      <c r="M114" s="43"/>
      <c r="N114" s="43"/>
      <c r="O114" s="43"/>
      <c r="P114" s="43"/>
      <c r="Q114" s="43"/>
    </row>
    <row r="115" spans="1:17" x14ac:dyDescent="0.3">
      <c r="C115" s="40" t="s">
        <v>223</v>
      </c>
      <c r="H115" s="43"/>
      <c r="I115" s="43"/>
      <c r="J115" s="43"/>
      <c r="K115" s="43"/>
      <c r="L115" s="43"/>
      <c r="M115" s="43"/>
      <c r="N115" s="43"/>
      <c r="O115" s="43"/>
      <c r="P115" s="43"/>
      <c r="Q115" s="43"/>
    </row>
    <row r="116" spans="1:17" x14ac:dyDescent="0.3">
      <c r="D116" s="34" t="s">
        <v>224</v>
      </c>
      <c r="F116" s="34" t="s">
        <v>174</v>
      </c>
      <c r="H116" s="43"/>
      <c r="I116" s="43">
        <f t="shared" ref="I116:J116" si="147">H119</f>
        <v>27908.699999999997</v>
      </c>
      <c r="J116" s="43">
        <f t="shared" si="147"/>
        <v>28381.200000000001</v>
      </c>
      <c r="K116" s="43">
        <f t="shared" ref="K116" si="148">J119</f>
        <v>25929</v>
      </c>
      <c r="L116" s="43">
        <f t="shared" ref="L116" si="149">K119</f>
        <v>26044.399999999998</v>
      </c>
      <c r="M116" s="43">
        <f>L119</f>
        <v>29057.5</v>
      </c>
      <c r="N116" s="43">
        <f t="shared" ref="N116" si="150">M119</f>
        <v>28288.281556777485</v>
      </c>
      <c r="O116" s="43">
        <f t="shared" ref="O116" si="151">N119</f>
        <v>27266.403127190541</v>
      </c>
      <c r="P116" s="43">
        <f t="shared" ref="P116" si="152">O119</f>
        <v>26058.751399859248</v>
      </c>
      <c r="Q116" s="43">
        <f t="shared" ref="Q116" si="153">P119</f>
        <v>24721.64060263132</v>
      </c>
    </row>
    <row r="117" spans="1:17" x14ac:dyDescent="0.3">
      <c r="D117" s="34" t="s">
        <v>225</v>
      </c>
      <c r="F117" s="34" t="s">
        <v>174</v>
      </c>
      <c r="H117" s="43"/>
      <c r="I117" s="43">
        <f t="shared" ref="I117:J117" si="154">I119-I116-I118</f>
        <v>3512.1000000000035</v>
      </c>
      <c r="J117" s="43">
        <f t="shared" si="154"/>
        <v>651.99999999999909</v>
      </c>
      <c r="K117" s="43">
        <f t="shared" ref="K117" si="155">K119-K116-K118</f>
        <v>3108.3999999999978</v>
      </c>
      <c r="L117" s="43">
        <f>L119-L116-L118</f>
        <v>6584.7000000000025</v>
      </c>
      <c r="M117" s="43">
        <f>(M25-L25)/M20</f>
        <v>2651.2353366242191</v>
      </c>
      <c r="N117" s="43">
        <f>(N25-M25)/N20</f>
        <v>2308.0281204000889</v>
      </c>
      <c r="O117" s="43">
        <f>(O25-N25)/O20</f>
        <v>2001.9661558046903</v>
      </c>
      <c r="P117" s="43">
        <f>(P25-O25)/P20</f>
        <v>1730.3504339080982</v>
      </c>
      <c r="Q117" s="43">
        <f>(Q25-P25)/Q20</f>
        <v>1490.6444680416205</v>
      </c>
    </row>
    <row r="118" spans="1:17" x14ac:dyDescent="0.3">
      <c r="D118" s="34" t="s">
        <v>226</v>
      </c>
      <c r="F118" s="34" t="s">
        <v>174</v>
      </c>
      <c r="H118" s="43">
        <f>H32</f>
        <v>-2745.8</v>
      </c>
      <c r="I118" s="43">
        <f>I32</f>
        <v>-3039.6</v>
      </c>
      <c r="J118" s="43">
        <f>J32</f>
        <v>-3104.2</v>
      </c>
      <c r="K118" s="43">
        <f>K32</f>
        <v>-2993</v>
      </c>
      <c r="L118" s="43">
        <f>L32</f>
        <v>-3571.6</v>
      </c>
      <c r="M118" s="43">
        <f>-M116*M12</f>
        <v>-3420.4537798467368</v>
      </c>
      <c r="N118" s="43">
        <f>-N116*N12</f>
        <v>-3329.9065499870353</v>
      </c>
      <c r="O118" s="43">
        <f>-O116*O12</f>
        <v>-3209.6178831359812</v>
      </c>
      <c r="P118" s="43">
        <f>-P116*P12</f>
        <v>-3067.4612311360238</v>
      </c>
      <c r="Q118" s="43">
        <f>-Q116*Q12</f>
        <v>-2910.0655267412153</v>
      </c>
    </row>
    <row r="119" spans="1:17" x14ac:dyDescent="0.3">
      <c r="D119" s="39" t="s">
        <v>227</v>
      </c>
      <c r="E119" s="38"/>
      <c r="F119" s="38" t="s">
        <v>174</v>
      </c>
      <c r="G119" s="38"/>
      <c r="H119" s="44">
        <f>H52</f>
        <v>27908.699999999997</v>
      </c>
      <c r="I119" s="44">
        <f>I52</f>
        <v>28381.200000000001</v>
      </c>
      <c r="J119" s="44">
        <f>J52</f>
        <v>25929</v>
      </c>
      <c r="K119" s="44">
        <f>K52</f>
        <v>26044.399999999998</v>
      </c>
      <c r="L119" s="44">
        <f>L52</f>
        <v>29057.5</v>
      </c>
      <c r="M119" s="44">
        <f>SUM(M116:M118)</f>
        <v>28288.281556777485</v>
      </c>
      <c r="N119" s="44">
        <f t="shared" ref="N119:O119" si="156">SUM(N116:N118)</f>
        <v>27266.403127190541</v>
      </c>
      <c r="O119" s="44">
        <f t="shared" si="156"/>
        <v>26058.751399859248</v>
      </c>
      <c r="P119" s="44">
        <f t="shared" ref="P119:Q119" si="157">SUM(P116:P118)</f>
        <v>24721.64060263132</v>
      </c>
      <c r="Q119" s="44">
        <f t="shared" si="157"/>
        <v>23302.219543931726</v>
      </c>
    </row>
    <row r="120" spans="1:17" x14ac:dyDescent="0.3">
      <c r="H120" s="43"/>
      <c r="I120" s="43"/>
      <c r="J120" s="43"/>
      <c r="K120" s="43"/>
      <c r="L120" s="43"/>
      <c r="M120" s="43"/>
      <c r="N120" s="43"/>
      <c r="O120" s="43"/>
      <c r="P120" s="43"/>
      <c r="Q120" s="43"/>
    </row>
    <row r="121" spans="1:17" x14ac:dyDescent="0.3">
      <c r="C121" s="34" t="s">
        <v>228</v>
      </c>
      <c r="H121" s="43"/>
      <c r="I121" s="43"/>
      <c r="J121" s="43"/>
      <c r="K121" s="43"/>
      <c r="L121" s="43"/>
      <c r="M121" s="43"/>
      <c r="N121" s="43"/>
      <c r="O121" s="43"/>
      <c r="P121" s="43"/>
      <c r="Q121" s="43"/>
    </row>
    <row r="122" spans="1:17" x14ac:dyDescent="0.3">
      <c r="D122" s="34" t="s">
        <v>229</v>
      </c>
      <c r="F122" s="34" t="s">
        <v>174</v>
      </c>
      <c r="H122" s="43"/>
      <c r="I122" s="43">
        <f t="shared" ref="I122:J122" si="158">H124</f>
        <v>17919.800000000003</v>
      </c>
      <c r="J122" s="43">
        <f t="shared" si="158"/>
        <v>26681.9</v>
      </c>
      <c r="K122" s="43">
        <f t="shared" ref="K122" si="159">J124</f>
        <v>13966.8</v>
      </c>
      <c r="L122" s="43">
        <f t="shared" ref="L122" si="160">K124</f>
        <v>14184.1</v>
      </c>
      <c r="M122" s="43">
        <f>L124</f>
        <v>13808.999999999998</v>
      </c>
      <c r="N122" s="43">
        <f t="shared" ref="N122" si="161">M124</f>
        <v>13808.999999999998</v>
      </c>
      <c r="O122" s="43">
        <f t="shared" ref="O122" si="162">N124</f>
        <v>13808.999999999998</v>
      </c>
      <c r="P122" s="43">
        <f t="shared" ref="P122" si="163">O124</f>
        <v>13808.999999999998</v>
      </c>
      <c r="Q122" s="43">
        <f t="shared" ref="Q122" si="164">P124</f>
        <v>13808.999999999998</v>
      </c>
    </row>
    <row r="123" spans="1:17" x14ac:dyDescent="0.3">
      <c r="D123" s="34" t="s">
        <v>230</v>
      </c>
      <c r="F123" s="34" t="s">
        <v>174</v>
      </c>
      <c r="H123" s="43"/>
      <c r="I123" s="43">
        <f t="shared" ref="I123:J123" si="165">I124-I122</f>
        <v>8762.0999999999985</v>
      </c>
      <c r="J123" s="43">
        <f t="shared" si="165"/>
        <v>-12715.100000000002</v>
      </c>
      <c r="K123" s="43">
        <f t="shared" ref="K123" si="166">K124-K122</f>
        <v>217.30000000000109</v>
      </c>
      <c r="L123" s="43">
        <f>L124-L122</f>
        <v>-375.10000000000218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</row>
    <row r="124" spans="1:17" x14ac:dyDescent="0.3">
      <c r="D124" s="39" t="s">
        <v>231</v>
      </c>
      <c r="E124" s="38"/>
      <c r="F124" s="38" t="s">
        <v>174</v>
      </c>
      <c r="G124" s="38"/>
      <c r="H124" s="44">
        <f>H63</f>
        <v>17919.800000000003</v>
      </c>
      <c r="I124" s="44">
        <f>I63</f>
        <v>26681.9</v>
      </c>
      <c r="J124" s="44">
        <f>J63</f>
        <v>13966.8</v>
      </c>
      <c r="K124" s="44">
        <f>K63</f>
        <v>14184.1</v>
      </c>
      <c r="L124" s="44">
        <f>L63</f>
        <v>13808.999999999998</v>
      </c>
      <c r="M124" s="44">
        <f>SUM(M122:M123)</f>
        <v>13808.999999999998</v>
      </c>
      <c r="N124" s="44">
        <f>SUM(N122:N123)</f>
        <v>13808.999999999998</v>
      </c>
      <c r="O124" s="44">
        <f t="shared" ref="O124" si="167">SUM(O122:O123)</f>
        <v>13808.999999999998</v>
      </c>
      <c r="P124" s="44">
        <f t="shared" ref="P124:Q124" si="168">SUM(P122:P123)</f>
        <v>13808.999999999998</v>
      </c>
      <c r="Q124" s="44">
        <f t="shared" si="168"/>
        <v>13808.999999999998</v>
      </c>
    </row>
    <row r="125" spans="1:17" x14ac:dyDescent="0.3">
      <c r="D125" s="34" t="s">
        <v>165</v>
      </c>
      <c r="F125" s="34" t="s">
        <v>174</v>
      </c>
      <c r="H125" s="43">
        <f>H34</f>
        <v>-589.20000000000005</v>
      </c>
      <c r="I125" s="43">
        <f>I34</f>
        <v>-523.70000000000005</v>
      </c>
      <c r="J125" s="43">
        <f>J34</f>
        <v>-1073.5999999999999</v>
      </c>
      <c r="K125" s="43">
        <f>K34</f>
        <v>-1124.0999999999999</v>
      </c>
      <c r="L125" s="43">
        <f>L34</f>
        <v>-1217</v>
      </c>
      <c r="M125" s="43">
        <f>-M124*M13</f>
        <v>-813.85304856489029</v>
      </c>
      <c r="N125" s="43">
        <f>-N124*N13</f>
        <v>-813.85304856489029</v>
      </c>
      <c r="O125" s="43">
        <f>-O124*O13</f>
        <v>-813.85304856489029</v>
      </c>
      <c r="P125" s="43">
        <f>-P124*P13</f>
        <v>-813.85304856489029</v>
      </c>
      <c r="Q125" s="43">
        <f>-Q124*Q13</f>
        <v>-813.85304856489029</v>
      </c>
    </row>
    <row r="126" spans="1:17" x14ac:dyDescent="0.3">
      <c r="H126" s="43"/>
      <c r="I126" s="43"/>
      <c r="J126" s="43"/>
      <c r="K126" s="43"/>
      <c r="L126" s="43"/>
      <c r="M126" s="43"/>
      <c r="N126" s="43"/>
      <c r="O126" s="43"/>
    </row>
    <row r="127" spans="1:17" x14ac:dyDescent="0.3">
      <c r="H127" s="43"/>
      <c r="I127" s="43"/>
      <c r="J127" s="43"/>
      <c r="K127" s="43"/>
      <c r="L127" s="43"/>
      <c r="M127" s="43"/>
      <c r="N127" s="43"/>
      <c r="O127" s="43"/>
    </row>
    <row r="128" spans="1:17" s="5" customFormat="1" ht="21" x14ac:dyDescent="0.4">
      <c r="A128" s="3" t="s">
        <v>374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4:19" x14ac:dyDescent="0.3">
      <c r="H129" s="43"/>
      <c r="I129" s="43"/>
      <c r="J129" s="43"/>
      <c r="K129" s="43"/>
      <c r="L129" s="43"/>
      <c r="M129" s="43"/>
      <c r="N129" s="43"/>
      <c r="O129" s="43"/>
    </row>
    <row r="130" spans="4:19" x14ac:dyDescent="0.3">
      <c r="D130" s="149" t="s">
        <v>375</v>
      </c>
      <c r="E130" s="145"/>
      <c r="H130" s="43"/>
      <c r="I130" s="43"/>
      <c r="J130" s="43"/>
      <c r="K130" s="43"/>
      <c r="L130" s="43"/>
      <c r="M130" s="43"/>
      <c r="N130" s="43"/>
      <c r="O130" s="43"/>
    </row>
    <row r="131" spans="4:19" x14ac:dyDescent="0.3">
      <c r="D131" s="34" t="s">
        <v>376</v>
      </c>
      <c r="E131" s="146">
        <v>45870</v>
      </c>
      <c r="H131" s="43"/>
      <c r="I131" s="43"/>
      <c r="J131" s="43"/>
      <c r="K131" s="43"/>
      <c r="L131" s="43"/>
      <c r="M131" s="43"/>
      <c r="N131" s="43"/>
      <c r="O131" s="43"/>
    </row>
    <row r="132" spans="4:19" x14ac:dyDescent="0.3">
      <c r="D132" s="34" t="s">
        <v>377</v>
      </c>
      <c r="E132" s="146">
        <v>46112</v>
      </c>
      <c r="H132" s="43"/>
      <c r="I132" s="43"/>
      <c r="J132" s="43"/>
      <c r="K132" s="43"/>
      <c r="L132" s="43"/>
      <c r="M132" s="43"/>
      <c r="N132" s="43"/>
      <c r="O132" s="43"/>
    </row>
    <row r="133" spans="4:19" x14ac:dyDescent="0.3">
      <c r="D133" s="34" t="s">
        <v>339</v>
      </c>
      <c r="E133" s="58">
        <v>0.125</v>
      </c>
      <c r="H133" s="43"/>
      <c r="I133" s="43"/>
      <c r="J133" s="43"/>
      <c r="K133" s="43"/>
      <c r="L133" s="43"/>
      <c r="M133" s="43"/>
      <c r="N133" s="43"/>
      <c r="O133" s="43"/>
    </row>
    <row r="134" spans="4:19" x14ac:dyDescent="0.3">
      <c r="D134" s="34" t="s">
        <v>378</v>
      </c>
      <c r="E134" s="147">
        <f>'Relative Valuation'!S20</f>
        <v>18.997409059388954</v>
      </c>
      <c r="H134" s="43"/>
      <c r="I134" s="43"/>
      <c r="J134" s="43"/>
      <c r="K134" s="43"/>
      <c r="L134" s="43"/>
      <c r="M134" s="43"/>
      <c r="N134" s="43"/>
      <c r="O134" s="43"/>
    </row>
    <row r="135" spans="4:19" x14ac:dyDescent="0.3">
      <c r="D135" s="34" t="s">
        <v>379</v>
      </c>
      <c r="E135" s="58">
        <v>0.06</v>
      </c>
      <c r="H135" s="43"/>
      <c r="I135" s="43"/>
      <c r="J135" s="43"/>
      <c r="K135" s="43"/>
      <c r="L135" s="43"/>
      <c r="M135" s="43"/>
      <c r="N135" s="43"/>
      <c r="O135" s="43"/>
    </row>
    <row r="136" spans="4:19" x14ac:dyDescent="0.3">
      <c r="D136" s="34" t="s">
        <v>380</v>
      </c>
      <c r="E136" s="55">
        <f>WACC!H24</f>
        <v>9.7648880586620745E-2</v>
      </c>
      <c r="H136" s="43"/>
      <c r="I136" s="43"/>
      <c r="J136" s="43"/>
      <c r="K136" s="43"/>
      <c r="L136" s="43"/>
      <c r="M136" s="43"/>
      <c r="N136" s="43"/>
      <c r="O136" s="43"/>
    </row>
    <row r="137" spans="4:19" x14ac:dyDescent="0.3">
      <c r="D137" s="34" t="s">
        <v>381</v>
      </c>
      <c r="E137" s="56">
        <f>'Relative Valuation'!I22</f>
        <v>119.57</v>
      </c>
      <c r="H137" s="43"/>
      <c r="I137" s="43"/>
      <c r="J137" s="43"/>
      <c r="K137" s="43"/>
      <c r="L137" s="43"/>
      <c r="M137" s="43"/>
      <c r="N137" s="43"/>
      <c r="O137" s="43"/>
    </row>
    <row r="138" spans="4:19" x14ac:dyDescent="0.3">
      <c r="D138" s="34" t="s">
        <v>382</v>
      </c>
      <c r="E138" s="148">
        <f>Beta!D6</f>
        <v>5303.5</v>
      </c>
      <c r="H138" s="43"/>
      <c r="I138" s="43"/>
      <c r="J138" s="43"/>
      <c r="K138" s="43"/>
      <c r="L138" s="43"/>
      <c r="M138" s="43"/>
      <c r="N138" s="43"/>
      <c r="O138" s="43"/>
    </row>
    <row r="139" spans="4:19" x14ac:dyDescent="0.3">
      <c r="H139" s="43"/>
      <c r="I139" s="43"/>
      <c r="J139" s="43"/>
      <c r="K139" s="43"/>
      <c r="L139" s="43"/>
      <c r="M139" s="43"/>
      <c r="N139" s="43"/>
      <c r="O139" s="43"/>
    </row>
    <row r="140" spans="4:19" x14ac:dyDescent="0.3">
      <c r="H140" s="43"/>
      <c r="I140" s="43"/>
      <c r="J140" s="43"/>
      <c r="K140" s="43"/>
      <c r="L140" s="43"/>
      <c r="M140" s="43"/>
      <c r="N140" s="43"/>
      <c r="O140" s="43"/>
    </row>
    <row r="141" spans="4:19" x14ac:dyDescent="0.3">
      <c r="D141" s="73" t="s">
        <v>383</v>
      </c>
      <c r="E141" s="75"/>
      <c r="F141" s="75"/>
      <c r="G141" s="75"/>
      <c r="H141" s="150" t="s">
        <v>386</v>
      </c>
      <c r="I141" s="73">
        <v>2026</v>
      </c>
      <c r="J141" s="73">
        <v>2027</v>
      </c>
      <c r="K141" s="73">
        <v>2028</v>
      </c>
      <c r="L141" s="73">
        <v>2029</v>
      </c>
      <c r="M141" s="73">
        <v>2030</v>
      </c>
      <c r="N141" s="150" t="s">
        <v>387</v>
      </c>
      <c r="O141" s="43"/>
      <c r="P141" s="73" t="s">
        <v>394</v>
      </c>
      <c r="Q141" s="75"/>
      <c r="R141" s="169">
        <f>M152*(1+E135)/(E136-E135)</f>
        <v>738653.59783149022</v>
      </c>
      <c r="S141" s="40"/>
    </row>
    <row r="142" spans="4:19" x14ac:dyDescent="0.3">
      <c r="D142" s="51" t="s">
        <v>320</v>
      </c>
      <c r="H142" s="151">
        <f>E131</f>
        <v>45870</v>
      </c>
      <c r="I142" s="151">
        <v>46112</v>
      </c>
      <c r="J142" s="151">
        <v>46477</v>
      </c>
      <c r="K142" s="151">
        <v>46843</v>
      </c>
      <c r="L142" s="151">
        <v>47208</v>
      </c>
      <c r="M142" s="151">
        <v>47573</v>
      </c>
      <c r="N142" s="151">
        <f>M142</f>
        <v>47573</v>
      </c>
      <c r="O142" s="43"/>
      <c r="R142" s="43"/>
    </row>
    <row r="143" spans="4:19" x14ac:dyDescent="0.3">
      <c r="D143" s="51" t="s">
        <v>384</v>
      </c>
      <c r="H143" s="52"/>
      <c r="I143" s="51">
        <v>0</v>
      </c>
      <c r="J143" s="52">
        <v>1</v>
      </c>
      <c r="K143" s="52">
        <v>2</v>
      </c>
      <c r="L143" s="52">
        <v>3</v>
      </c>
      <c r="M143" s="52">
        <v>4</v>
      </c>
      <c r="N143" s="43"/>
      <c r="O143" s="43"/>
    </row>
    <row r="144" spans="4:19" x14ac:dyDescent="0.3">
      <c r="D144" s="51" t="s">
        <v>385</v>
      </c>
      <c r="H144" s="43"/>
      <c r="I144" s="152">
        <f>YEARFRAC(H142,I142)</f>
        <v>0.66666666666666663</v>
      </c>
      <c r="J144" s="52">
        <f t="shared" ref="J144:M144" si="169">YEARFRAC(I142,J142)</f>
        <v>1</v>
      </c>
      <c r="K144" s="52">
        <f t="shared" si="169"/>
        <v>1</v>
      </c>
      <c r="L144" s="52">
        <f t="shared" si="169"/>
        <v>1</v>
      </c>
      <c r="M144" s="52">
        <f t="shared" si="169"/>
        <v>1</v>
      </c>
      <c r="N144" s="52">
        <f>M144</f>
        <v>1</v>
      </c>
      <c r="O144" s="43"/>
      <c r="P144" s="40"/>
      <c r="Q144" s="40"/>
      <c r="R144" s="42"/>
    </row>
    <row r="146" spans="4:16" x14ac:dyDescent="0.3">
      <c r="D146" s="34" t="s">
        <v>164</v>
      </c>
      <c r="I146" s="43">
        <f>M33</f>
        <v>22910.252373356423</v>
      </c>
      <c r="J146" s="43">
        <f t="shared" ref="J146:M146" si="170">N33</f>
        <v>25325.152935901446</v>
      </c>
      <c r="K146" s="43">
        <f t="shared" si="170"/>
        <v>27646.138381840217</v>
      </c>
      <c r="L146" s="43">
        <f t="shared" si="170"/>
        <v>29849.942199919773</v>
      </c>
      <c r="M146" s="43">
        <f t="shared" si="170"/>
        <v>31920.813681622596</v>
      </c>
      <c r="N146" s="43"/>
    </row>
    <row r="147" spans="4:16" x14ac:dyDescent="0.3">
      <c r="D147" s="34" t="s">
        <v>388</v>
      </c>
      <c r="I147" s="43">
        <f>-I146*$E$133</f>
        <v>-2863.7815466695529</v>
      </c>
      <c r="J147" s="43">
        <f t="shared" ref="J147:M147" si="171">-J146*$E$133</f>
        <v>-3165.6441169876807</v>
      </c>
      <c r="K147" s="43">
        <f t="shared" si="171"/>
        <v>-3455.7672977300272</v>
      </c>
      <c r="L147" s="43">
        <f t="shared" si="171"/>
        <v>-3731.2427749899716</v>
      </c>
      <c r="M147" s="43">
        <f t="shared" si="171"/>
        <v>-3990.1017102028245</v>
      </c>
      <c r="N147" s="43"/>
    </row>
    <row r="148" spans="4:16" x14ac:dyDescent="0.3">
      <c r="D148" s="38" t="s">
        <v>389</v>
      </c>
      <c r="E148" s="38"/>
      <c r="F148" s="38"/>
      <c r="G148" s="38"/>
      <c r="H148" s="38"/>
      <c r="I148" s="45">
        <f t="shared" ref="I148:M148" si="172">SUM(I146:I147)</f>
        <v>20046.470826686869</v>
      </c>
      <c r="J148" s="45">
        <f t="shared" si="172"/>
        <v>22159.508818913764</v>
      </c>
      <c r="K148" s="45">
        <f t="shared" si="172"/>
        <v>24190.371084110189</v>
      </c>
      <c r="L148" s="45">
        <f t="shared" si="172"/>
        <v>26118.6994249298</v>
      </c>
      <c r="M148" s="45">
        <f t="shared" si="172"/>
        <v>27930.711971419772</v>
      </c>
      <c r="N148" s="43"/>
    </row>
    <row r="149" spans="4:16" x14ac:dyDescent="0.3">
      <c r="D149" s="34" t="s">
        <v>390</v>
      </c>
      <c r="I149" s="43">
        <f t="shared" ref="I149:M149" si="173">M79</f>
        <v>3420.4537798467368</v>
      </c>
      <c r="J149" s="43">
        <f t="shared" si="173"/>
        <v>3329.9065499870353</v>
      </c>
      <c r="K149" s="43">
        <f t="shared" si="173"/>
        <v>3209.6178831359812</v>
      </c>
      <c r="L149" s="43">
        <f t="shared" si="173"/>
        <v>3067.4612311360238</v>
      </c>
      <c r="M149" s="43">
        <f t="shared" si="173"/>
        <v>2910.0655267412153</v>
      </c>
      <c r="N149" s="43"/>
    </row>
    <row r="150" spans="4:16" x14ac:dyDescent="0.3">
      <c r="D150" s="34" t="s">
        <v>391</v>
      </c>
      <c r="I150" s="43">
        <f t="shared" ref="I150:M150" si="174">-M117</f>
        <v>-2651.2353366242191</v>
      </c>
      <c r="J150" s="43">
        <f t="shared" si="174"/>
        <v>-2308.0281204000889</v>
      </c>
      <c r="K150" s="43">
        <f t="shared" si="174"/>
        <v>-2001.9661558046903</v>
      </c>
      <c r="L150" s="43">
        <f t="shared" si="174"/>
        <v>-1730.3504339080982</v>
      </c>
      <c r="M150" s="43">
        <f t="shared" si="174"/>
        <v>-1490.6444680416205</v>
      </c>
      <c r="N150" s="43"/>
    </row>
    <row r="151" spans="4:16" x14ac:dyDescent="0.3">
      <c r="D151" s="34" t="s">
        <v>392</v>
      </c>
      <c r="I151" s="43">
        <f t="shared" ref="I151:M151" si="175">M113</f>
        <v>-7368.2661023579567</v>
      </c>
      <c r="J151" s="43">
        <f t="shared" si="175"/>
        <v>-3783.6037728650881</v>
      </c>
      <c r="K151" s="43">
        <f t="shared" si="175"/>
        <v>-3582.3144954767522</v>
      </c>
      <c r="L151" s="43">
        <f t="shared" si="175"/>
        <v>-3355.9682541395523</v>
      </c>
      <c r="M151" s="43">
        <f t="shared" si="175"/>
        <v>-3114.7735021612898</v>
      </c>
      <c r="N151" s="43"/>
    </row>
    <row r="152" spans="4:16" x14ac:dyDescent="0.3">
      <c r="D152" s="39" t="s">
        <v>406</v>
      </c>
      <c r="E152" s="39"/>
      <c r="F152" s="39"/>
      <c r="G152" s="39"/>
      <c r="H152" s="39"/>
      <c r="I152" s="44">
        <f t="shared" ref="I152:M152" si="176">SUM(I148:I151)</f>
        <v>13447.423167551427</v>
      </c>
      <c r="J152" s="44">
        <f t="shared" si="176"/>
        <v>19397.783475635621</v>
      </c>
      <c r="K152" s="44">
        <f t="shared" si="176"/>
        <v>21815.70831596473</v>
      </c>
      <c r="L152" s="44">
        <f t="shared" si="176"/>
        <v>24099.841968018176</v>
      </c>
      <c r="M152" s="44">
        <f t="shared" si="176"/>
        <v>26235.359527958077</v>
      </c>
      <c r="N152" s="44">
        <f>R141</f>
        <v>738653.59783149022</v>
      </c>
    </row>
    <row r="154" spans="4:16" x14ac:dyDescent="0.3">
      <c r="D154" s="40" t="s">
        <v>393</v>
      </c>
      <c r="E154" s="40"/>
      <c r="F154" s="40"/>
      <c r="G154" s="40"/>
      <c r="H154" s="42">
        <v>0</v>
      </c>
      <c r="I154" s="42">
        <f>I152*I144</f>
        <v>8964.9487783676177</v>
      </c>
      <c r="J154" s="42">
        <f t="shared" ref="J154:M154" si="177">J152*J144</f>
        <v>19397.783475635621</v>
      </c>
      <c r="K154" s="42">
        <f t="shared" si="177"/>
        <v>21815.70831596473</v>
      </c>
      <c r="L154" s="42">
        <f t="shared" si="177"/>
        <v>24099.841968018176</v>
      </c>
      <c r="M154" s="42">
        <f t="shared" si="177"/>
        <v>26235.359527958077</v>
      </c>
      <c r="N154" s="42">
        <f>N152*N144</f>
        <v>738653.59783149022</v>
      </c>
    </row>
    <row r="159" spans="4:16" x14ac:dyDescent="0.3">
      <c r="D159" s="73" t="s">
        <v>395</v>
      </c>
      <c r="E159" s="75"/>
      <c r="H159" s="73" t="s">
        <v>396</v>
      </c>
      <c r="I159" s="75"/>
      <c r="J159" s="75"/>
      <c r="K159" s="75"/>
      <c r="M159" s="73" t="s">
        <v>400</v>
      </c>
      <c r="N159" s="75"/>
      <c r="O159" s="75"/>
      <c r="P159" s="168" t="s">
        <v>407</v>
      </c>
    </row>
    <row r="160" spans="4:16" x14ac:dyDescent="0.3">
      <c r="D160" s="34" t="s">
        <v>397</v>
      </c>
      <c r="E160" s="43">
        <f>XNPV(E136,I152:N152,I142:N142)</f>
        <v>594225.72724418109</v>
      </c>
      <c r="H160" s="34" t="s">
        <v>262</v>
      </c>
      <c r="K160" s="43">
        <f>E138*E137</f>
        <v>634139.495</v>
      </c>
      <c r="M160" s="34" t="s">
        <v>420</v>
      </c>
      <c r="O160" s="43">
        <f>E166</f>
        <v>4023.9619239289209</v>
      </c>
      <c r="P160" s="167">
        <v>0.35</v>
      </c>
    </row>
    <row r="161" spans="4:16" x14ac:dyDescent="0.3">
      <c r="D161" s="34" t="s">
        <v>398</v>
      </c>
      <c r="E161" s="43">
        <f>L45+L46+L53</f>
        <v>20577.099999999999</v>
      </c>
      <c r="H161" s="34" t="s">
        <v>399</v>
      </c>
      <c r="K161" s="43">
        <f>-E162</f>
        <v>13808.999999999998</v>
      </c>
      <c r="M161" s="34" t="s">
        <v>419</v>
      </c>
      <c r="O161" s="43">
        <f>'Relative Valuation'!L27</f>
        <v>7783.6882861777794</v>
      </c>
      <c r="P161" s="167">
        <v>0.65</v>
      </c>
    </row>
    <row r="162" spans="4:16" x14ac:dyDescent="0.3">
      <c r="D162" s="34" t="s">
        <v>401</v>
      </c>
      <c r="E162" s="43">
        <f>-L124</f>
        <v>-13808.999999999998</v>
      </c>
      <c r="H162" s="34" t="s">
        <v>402</v>
      </c>
      <c r="K162" s="43">
        <f>-E163</f>
        <v>119848.70000000001</v>
      </c>
      <c r="M162" s="38"/>
      <c r="N162" s="38"/>
      <c r="O162" s="170">
        <f>(O160*P160)+(O161*P161)</f>
        <v>6467.7840593906785</v>
      </c>
      <c r="P162" s="38"/>
    </row>
    <row r="163" spans="4:16" x14ac:dyDescent="0.3">
      <c r="D163" s="34" t="s">
        <v>403</v>
      </c>
      <c r="E163" s="43">
        <f>-L69</f>
        <v>-119848.70000000001</v>
      </c>
      <c r="H163" s="34" t="s">
        <v>404</v>
      </c>
      <c r="K163" s="43">
        <f>-E161</f>
        <v>-20577.099999999999</v>
      </c>
    </row>
    <row r="164" spans="4:16" x14ac:dyDescent="0.3">
      <c r="D164" s="34" t="s">
        <v>317</v>
      </c>
      <c r="E164" s="45">
        <f>SUM(E160:E163)</f>
        <v>481145.12724418106</v>
      </c>
      <c r="H164" s="34" t="s">
        <v>397</v>
      </c>
      <c r="K164" s="45">
        <f>SUM(K160:K163)</f>
        <v>747220.09500000009</v>
      </c>
    </row>
    <row r="165" spans="4:16" x14ac:dyDescent="0.3">
      <c r="E165" s="43"/>
      <c r="K165" s="43"/>
    </row>
    <row r="166" spans="4:16" x14ac:dyDescent="0.3">
      <c r="D166" s="34" t="s">
        <v>405</v>
      </c>
      <c r="E166" s="153">
        <f>E164/E137</f>
        <v>4023.9619239289209</v>
      </c>
      <c r="H166" s="34" t="s">
        <v>405</v>
      </c>
      <c r="K166" s="153">
        <f>K160/E137</f>
        <v>5303.5</v>
      </c>
    </row>
  </sheetData>
  <mergeCells count="2">
    <mergeCell ref="M1:Q1"/>
    <mergeCell ref="H1:L1"/>
  </mergeCells>
  <pageMargins left="0.7" right="0.7" top="0.75" bottom="0.75" header="0.3" footer="0.3"/>
  <ignoredErrors>
    <ignoredError sqref="H55:J55 H60:J61 H63:J64 H87:J87 H101:J101" formulaRange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5D6B23-B3E5-4818-87D4-DE73EBEA5AB6}">
          <x14:formula1>
            <xm:f>Scenarios!$D$5:$D$7</xm:f>
          </x14:formula1>
          <xm:sqref>E7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5CDD-226C-4C8E-A582-B40D0D6549B8}">
  <dimension ref="A1:L19"/>
  <sheetViews>
    <sheetView showGridLines="0" zoomScale="84" zoomScaleNormal="100" workbookViewId="0">
      <selection activeCell="J17" sqref="J17"/>
    </sheetView>
  </sheetViews>
  <sheetFormatPr defaultColWidth="11.6640625" defaultRowHeight="15.6" x14ac:dyDescent="0.3"/>
  <cols>
    <col min="1" max="3" width="1.21875" style="59" customWidth="1"/>
    <col min="4" max="4" width="40.6640625" style="59" customWidth="1"/>
    <col min="5" max="6" width="12.6640625" style="59" customWidth="1"/>
    <col min="7" max="7" width="2.6640625" style="59" customWidth="1"/>
    <col min="8" max="8" width="11.6640625" style="59"/>
    <col min="9" max="12" width="11.5546875" style="59" customWidth="1"/>
    <col min="13" max="16384" width="11.6640625" style="59"/>
  </cols>
  <sheetData>
    <row r="1" spans="1:12" s="6" customFormat="1" ht="33.6" x14ac:dyDescent="0.65">
      <c r="A1" s="1" t="str">
        <f>Historical!A1</f>
        <v>Alkem Laboratories</v>
      </c>
      <c r="B1" s="1"/>
      <c r="C1" s="1"/>
      <c r="D1" s="1"/>
      <c r="E1" s="1"/>
      <c r="F1" s="1"/>
      <c r="G1" s="1"/>
      <c r="H1" s="70"/>
      <c r="I1" s="70"/>
      <c r="J1" s="70"/>
      <c r="K1" s="70"/>
      <c r="L1" s="70"/>
    </row>
    <row r="2" spans="1:12" s="34" customFormat="1" x14ac:dyDescent="0.3">
      <c r="A2" s="31" t="s">
        <v>247</v>
      </c>
      <c r="B2" s="31"/>
      <c r="C2" s="31"/>
      <c r="D2" s="31"/>
      <c r="E2" s="31"/>
      <c r="F2" s="31"/>
      <c r="G2" s="31"/>
      <c r="H2" s="65"/>
      <c r="I2" s="65"/>
      <c r="J2" s="65"/>
      <c r="K2" s="65"/>
      <c r="L2" s="65"/>
    </row>
    <row r="3" spans="1:12" x14ac:dyDescent="0.3">
      <c r="D3" s="66"/>
      <c r="E3" s="66"/>
      <c r="F3" s="66"/>
      <c r="G3" s="66"/>
      <c r="H3" s="66"/>
      <c r="I3" s="66"/>
      <c r="J3" s="66"/>
      <c r="K3" s="66"/>
      <c r="L3" s="66"/>
    </row>
    <row r="4" spans="1:12" x14ac:dyDescent="0.3">
      <c r="C4" s="60" t="s">
        <v>247</v>
      </c>
      <c r="E4" s="60" t="s">
        <v>251</v>
      </c>
      <c r="H4" s="60">
        <f>Model!K2</f>
        <v>2024</v>
      </c>
      <c r="I4" s="60">
        <f>Model!L2</f>
        <v>2025</v>
      </c>
      <c r="J4" s="60">
        <f>Model!M2</f>
        <v>2026</v>
      </c>
      <c r="K4" s="60">
        <f>Model!N2</f>
        <v>2027</v>
      </c>
      <c r="L4" s="60">
        <f>Model!O2</f>
        <v>2028</v>
      </c>
    </row>
    <row r="5" spans="1:12" s="64" customFormat="1" x14ac:dyDescent="0.3">
      <c r="D5" s="64" t="s">
        <v>250</v>
      </c>
      <c r="E5" s="68">
        <f>AVERAGE(Model!H8:L8)</f>
        <v>0.1014659645584341</v>
      </c>
      <c r="H5" s="71">
        <f>E5</f>
        <v>0.1014659645584341</v>
      </c>
      <c r="I5" s="71">
        <f>H5*(1-$E$8)</f>
        <v>8.8275389165837659E-2</v>
      </c>
      <c r="J5" s="71">
        <f t="shared" ref="J5:L5" si="0">I5*(1-$E$8)</f>
        <v>7.6799588574278765E-2</v>
      </c>
      <c r="K5" s="71">
        <f t="shared" si="0"/>
        <v>6.6815642059622524E-2</v>
      </c>
      <c r="L5" s="71">
        <f t="shared" si="0"/>
        <v>5.8129608591871593E-2</v>
      </c>
    </row>
    <row r="6" spans="1:12" x14ac:dyDescent="0.3">
      <c r="D6" s="64" t="s">
        <v>248</v>
      </c>
      <c r="E6" s="69">
        <f>MAX(Model!H8:L8)</f>
        <v>0.19956886681458896</v>
      </c>
      <c r="H6" s="62">
        <f t="shared" ref="H6:H7" si="1">E6</f>
        <v>0.19956886681458896</v>
      </c>
      <c r="I6" s="71">
        <f>H6*(1-$E$8)</f>
        <v>0.17362491412869241</v>
      </c>
      <c r="J6" s="71">
        <f t="shared" ref="J6:L6" si="2">I6*(1-$E$8)</f>
        <v>0.1510536752919624</v>
      </c>
      <c r="K6" s="71">
        <f t="shared" si="2"/>
        <v>0.13141669750400728</v>
      </c>
      <c r="L6" s="71">
        <f t="shared" si="2"/>
        <v>0.11433252682848634</v>
      </c>
    </row>
    <row r="7" spans="1:12" x14ac:dyDescent="0.3">
      <c r="D7" s="59" t="s">
        <v>249</v>
      </c>
      <c r="E7" s="67">
        <f>MIN(Model!H8:L8)</f>
        <v>2.3440941363701562E-2</v>
      </c>
      <c r="F7" s="60"/>
      <c r="H7" s="62">
        <f t="shared" si="1"/>
        <v>2.3440941363701562E-2</v>
      </c>
      <c r="I7" s="71">
        <f t="shared" ref="I7:L7" si="3">H7*(1-$E$8)</f>
        <v>2.0393618986420357E-2</v>
      </c>
      <c r="J7" s="71">
        <f t="shared" si="3"/>
        <v>1.7742448518185711E-2</v>
      </c>
      <c r="K7" s="71">
        <f t="shared" si="3"/>
        <v>1.5435930210821567E-2</v>
      </c>
      <c r="L7" s="71">
        <f t="shared" si="3"/>
        <v>1.3429259283414763E-2</v>
      </c>
    </row>
    <row r="8" spans="1:12" x14ac:dyDescent="0.3">
      <c r="D8" s="59" t="s">
        <v>252</v>
      </c>
      <c r="E8" s="72">
        <v>0.13</v>
      </c>
      <c r="I8" s="61"/>
      <c r="J8" s="61"/>
      <c r="K8" s="61"/>
      <c r="L8" s="61"/>
    </row>
    <row r="9" spans="1:12" x14ac:dyDescent="0.3">
      <c r="H9" s="61"/>
      <c r="I9" s="61"/>
      <c r="J9" s="61"/>
      <c r="K9" s="61"/>
      <c r="L9" s="61"/>
    </row>
    <row r="10" spans="1:12" x14ac:dyDescent="0.3">
      <c r="H10" s="61"/>
      <c r="I10" s="61"/>
      <c r="J10" s="61"/>
      <c r="K10" s="61"/>
      <c r="L10" s="61"/>
    </row>
    <row r="11" spans="1:12" x14ac:dyDescent="0.3">
      <c r="H11" s="61"/>
      <c r="I11" s="61"/>
      <c r="J11" s="61"/>
      <c r="K11" s="61"/>
      <c r="L11" s="61"/>
    </row>
    <row r="12" spans="1:12" x14ac:dyDescent="0.3">
      <c r="H12" s="61"/>
      <c r="I12" s="61"/>
      <c r="J12" s="61"/>
      <c r="K12" s="61"/>
      <c r="L12" s="61"/>
    </row>
    <row r="13" spans="1:12" x14ac:dyDescent="0.3">
      <c r="H13" s="61"/>
      <c r="I13" s="61"/>
      <c r="J13" s="61"/>
      <c r="K13" s="61"/>
      <c r="L13" s="61"/>
    </row>
    <row r="14" spans="1:12" x14ac:dyDescent="0.3">
      <c r="H14" s="61"/>
      <c r="I14" s="61"/>
      <c r="J14" s="61"/>
      <c r="K14" s="61"/>
      <c r="L14" s="61"/>
    </row>
    <row r="15" spans="1:12" x14ac:dyDescent="0.3">
      <c r="H15" s="61"/>
      <c r="I15" s="61"/>
      <c r="J15" s="61"/>
      <c r="K15" s="61"/>
      <c r="L15" s="61"/>
    </row>
    <row r="16" spans="1:12" x14ac:dyDescent="0.3">
      <c r="H16" s="61"/>
      <c r="I16" s="61"/>
      <c r="J16" s="61"/>
      <c r="K16" s="61"/>
      <c r="L16" s="61"/>
    </row>
    <row r="17" spans="8:12" x14ac:dyDescent="0.3">
      <c r="H17" s="63"/>
      <c r="I17" s="63"/>
      <c r="J17" s="63"/>
      <c r="K17" s="63"/>
      <c r="L17" s="63"/>
    </row>
    <row r="18" spans="8:12" x14ac:dyDescent="0.3">
      <c r="H18" s="63"/>
      <c r="I18" s="63"/>
      <c r="J18" s="63"/>
      <c r="K18" s="63"/>
      <c r="L18" s="63"/>
    </row>
    <row r="19" spans="8:12" x14ac:dyDescent="0.3">
      <c r="H19" s="63"/>
      <c r="I19" s="63"/>
      <c r="J19" s="63"/>
      <c r="K19" s="63"/>
      <c r="L19" s="6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7266-1C7D-4D51-9247-B31E18EDAFB9}">
  <dimension ref="A1:U27"/>
  <sheetViews>
    <sheetView showGridLines="0" topLeftCell="A2" zoomScale="83" workbookViewId="0">
      <selection activeCell="E30" sqref="E30"/>
    </sheetView>
  </sheetViews>
  <sheetFormatPr defaultColWidth="8.88671875" defaultRowHeight="13.8" x14ac:dyDescent="0.3"/>
  <cols>
    <col min="1" max="3" width="2.44140625" style="6" customWidth="1"/>
    <col min="4" max="4" width="34.44140625" style="6" customWidth="1"/>
    <col min="5" max="6" width="8.88671875" style="6"/>
    <col min="7" max="7" width="3.109375" style="6" customWidth="1"/>
    <col min="8" max="21" width="11.6640625" style="6" customWidth="1"/>
    <col min="22" max="16384" width="8.88671875" style="6"/>
  </cols>
  <sheetData>
    <row r="1" spans="1:21" ht="33.6" x14ac:dyDescent="0.65">
      <c r="A1" s="1" t="str">
        <f>Historical!A1</f>
        <v>Alkem Laboratories</v>
      </c>
      <c r="B1" s="1"/>
      <c r="C1" s="1"/>
      <c r="D1" s="1"/>
      <c r="E1" s="1"/>
      <c r="F1" s="1"/>
      <c r="G1" s="1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</row>
    <row r="2" spans="1:21" ht="15.6" x14ac:dyDescent="0.3">
      <c r="A2" s="31" t="s">
        <v>258</v>
      </c>
      <c r="B2" s="31"/>
      <c r="C2" s="31"/>
      <c r="D2" s="31"/>
      <c r="E2" s="31"/>
      <c r="F2" s="31"/>
      <c r="G2" s="31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</row>
    <row r="3" spans="1:21" x14ac:dyDescent="0.3">
      <c r="J3" s="99"/>
    </row>
    <row r="5" spans="1:21" x14ac:dyDescent="0.3">
      <c r="D5" s="4"/>
      <c r="E5" s="4"/>
      <c r="F5" s="4"/>
      <c r="G5" s="4"/>
      <c r="H5" s="175" t="s">
        <v>268</v>
      </c>
      <c r="I5" s="175"/>
      <c r="J5" s="175"/>
      <c r="K5" s="175"/>
      <c r="L5" s="175"/>
      <c r="M5" s="175"/>
      <c r="N5" s="4"/>
      <c r="O5" s="176" t="s">
        <v>269</v>
      </c>
      <c r="P5" s="176"/>
      <c r="Q5" s="176"/>
      <c r="R5" s="4"/>
      <c r="S5" s="176" t="s">
        <v>270</v>
      </c>
      <c r="T5" s="176"/>
      <c r="U5" s="176"/>
    </row>
    <row r="6" spans="1:21" x14ac:dyDescent="0.3">
      <c r="D6" s="4"/>
      <c r="E6" s="4"/>
      <c r="F6" s="4"/>
      <c r="G6" s="83"/>
      <c r="H6" s="97" t="s">
        <v>260</v>
      </c>
      <c r="I6" s="97" t="s">
        <v>261</v>
      </c>
      <c r="J6" s="98" t="s">
        <v>262</v>
      </c>
      <c r="K6" s="97" t="s">
        <v>188</v>
      </c>
      <c r="L6" s="97" t="s">
        <v>175</v>
      </c>
      <c r="M6" s="97" t="s">
        <v>263</v>
      </c>
      <c r="N6" s="84"/>
      <c r="O6" s="84" t="s">
        <v>147</v>
      </c>
      <c r="P6" s="84" t="s">
        <v>162</v>
      </c>
      <c r="Q6" s="84" t="s">
        <v>264</v>
      </c>
      <c r="R6" s="84"/>
      <c r="S6" s="84" t="s">
        <v>265</v>
      </c>
      <c r="T6" s="84" t="s">
        <v>266</v>
      </c>
      <c r="U6" s="84" t="s">
        <v>267</v>
      </c>
    </row>
    <row r="7" spans="1:21" ht="14.4" x14ac:dyDescent="0.3">
      <c r="D7" s="4" t="s">
        <v>259</v>
      </c>
      <c r="E7" s="4"/>
      <c r="F7" s="4" t="s">
        <v>307</v>
      </c>
      <c r="G7" s="4"/>
      <c r="H7" s="84" t="s">
        <v>271</v>
      </c>
      <c r="I7" s="84" t="s">
        <v>272</v>
      </c>
      <c r="J7" s="84" t="s">
        <v>174</v>
      </c>
      <c r="K7" s="84"/>
      <c r="L7" s="84" t="s">
        <v>273</v>
      </c>
      <c r="M7" s="84" t="s">
        <v>174</v>
      </c>
      <c r="N7" s="84"/>
      <c r="O7" s="84" t="s">
        <v>174</v>
      </c>
      <c r="P7" s="84" t="s">
        <v>174</v>
      </c>
      <c r="Q7" s="84" t="s">
        <v>174</v>
      </c>
      <c r="R7" s="84"/>
      <c r="S7" s="84" t="s">
        <v>274</v>
      </c>
      <c r="T7" s="84" t="s">
        <v>274</v>
      </c>
      <c r="U7" s="84" t="s">
        <v>274</v>
      </c>
    </row>
    <row r="8" spans="1:21" x14ac:dyDescent="0.3">
      <c r="D8" s="6" t="s">
        <v>275</v>
      </c>
      <c r="F8" s="93">
        <v>500124</v>
      </c>
      <c r="H8" s="95">
        <v>1260</v>
      </c>
      <c r="I8" s="113">
        <v>834.59999999999991</v>
      </c>
      <c r="J8" s="95">
        <f>H8*I8</f>
        <v>1051596</v>
      </c>
      <c r="K8" s="95">
        <v>46766</v>
      </c>
      <c r="L8" s="95">
        <v>24602</v>
      </c>
      <c r="M8" s="95">
        <f>J8+K8-L8</f>
        <v>1073760</v>
      </c>
      <c r="N8" s="95"/>
      <c r="O8" s="95">
        <v>335199</v>
      </c>
      <c r="P8" s="95">
        <v>98071</v>
      </c>
      <c r="Q8" s="95">
        <v>57427</v>
      </c>
      <c r="R8" s="94"/>
      <c r="S8" s="100">
        <f>M8/P8</f>
        <v>10.948802398262483</v>
      </c>
      <c r="T8" s="100">
        <f>M8/O8</f>
        <v>3.2033508453187509</v>
      </c>
      <c r="U8" s="100">
        <f>J8/Q8</f>
        <v>18.311874205513085</v>
      </c>
    </row>
    <row r="9" spans="1:21" x14ac:dyDescent="0.3">
      <c r="D9" s="6" t="s">
        <v>276</v>
      </c>
      <c r="F9" s="93" t="s">
        <v>308</v>
      </c>
      <c r="H9" s="95">
        <v>988.6</v>
      </c>
      <c r="I9" s="113">
        <v>1006.2</v>
      </c>
      <c r="J9" s="95">
        <f t="shared" ref="J9:J17" si="0">H9*I9</f>
        <v>994729.32000000007</v>
      </c>
      <c r="K9" s="95">
        <v>32132</v>
      </c>
      <c r="L9" s="95">
        <v>29568</v>
      </c>
      <c r="M9" s="95">
        <f t="shared" ref="M9:M17" si="1">J9+K9-L9</f>
        <v>997293.32000000007</v>
      </c>
      <c r="N9" s="95"/>
      <c r="O9" s="95">
        <v>236077</v>
      </c>
      <c r="P9" s="95">
        <v>74242</v>
      </c>
      <c r="Q9" s="95">
        <v>47111</v>
      </c>
      <c r="S9" s="100">
        <f t="shared" ref="S9:S17" si="2">M9/P9</f>
        <v>13.433007192694163</v>
      </c>
      <c r="T9" s="100">
        <f t="shared" ref="T9:T17" si="3">M9/O9</f>
        <v>4.2244408392177135</v>
      </c>
      <c r="U9" s="100">
        <f t="shared" ref="U9:U17" si="4">J9/Q9</f>
        <v>21.114587251385029</v>
      </c>
    </row>
    <row r="10" spans="1:21" x14ac:dyDescent="0.3">
      <c r="D10" s="6" t="s">
        <v>277</v>
      </c>
      <c r="F10" s="93">
        <v>500420</v>
      </c>
      <c r="H10" s="95">
        <v>3617.8</v>
      </c>
      <c r="I10" s="113">
        <v>338.40000000000003</v>
      </c>
      <c r="J10" s="95">
        <f t="shared" si="0"/>
        <v>1224263.5200000003</v>
      </c>
      <c r="K10" s="95">
        <v>32023.200000000001</v>
      </c>
      <c r="L10" s="95">
        <v>5794.6</v>
      </c>
      <c r="M10" s="95">
        <f t="shared" si="1"/>
        <v>1250492.1200000001</v>
      </c>
      <c r="N10" s="95"/>
      <c r="O10" s="95">
        <v>118350</v>
      </c>
      <c r="P10" s="95">
        <v>38110</v>
      </c>
      <c r="Q10" s="95">
        <v>20020</v>
      </c>
      <c r="S10" s="100">
        <f t="shared" si="2"/>
        <v>32.812703227499348</v>
      </c>
      <c r="T10" s="100">
        <f t="shared" si="3"/>
        <v>10.566050866075201</v>
      </c>
      <c r="U10" s="100">
        <f t="shared" si="4"/>
        <v>61.15202397602399</v>
      </c>
    </row>
    <row r="11" spans="1:21" x14ac:dyDescent="0.3">
      <c r="D11" s="6" t="s">
        <v>278</v>
      </c>
      <c r="F11" s="93" t="s">
        <v>309</v>
      </c>
      <c r="H11" s="95">
        <v>2466</v>
      </c>
      <c r="I11" s="113">
        <v>412.70000000000005</v>
      </c>
      <c r="J11" s="95">
        <f t="shared" si="0"/>
        <v>1017718.2000000001</v>
      </c>
      <c r="K11" s="95">
        <v>85114.5</v>
      </c>
      <c r="L11" s="95">
        <v>5545</v>
      </c>
      <c r="M11" s="95">
        <f t="shared" si="1"/>
        <v>1097287.7000000002</v>
      </c>
      <c r="N11" s="95"/>
      <c r="O11" s="95">
        <v>129250.20000000001</v>
      </c>
      <c r="P11" s="95">
        <v>37251.300000000003</v>
      </c>
      <c r="Q11" s="95">
        <v>19126.7</v>
      </c>
      <c r="S11" s="100">
        <f t="shared" si="2"/>
        <v>29.45635991227152</v>
      </c>
      <c r="T11" s="100">
        <f t="shared" si="3"/>
        <v>8.4896402481388815</v>
      </c>
      <c r="U11" s="100">
        <f t="shared" si="4"/>
        <v>53.209293814406038</v>
      </c>
    </row>
    <row r="12" spans="1:21" x14ac:dyDescent="0.3">
      <c r="D12" s="6" t="s">
        <v>279</v>
      </c>
      <c r="F12" s="93">
        <v>500257</v>
      </c>
      <c r="H12" s="95">
        <v>1989.8</v>
      </c>
      <c r="I12" s="113">
        <v>456.70000000000005</v>
      </c>
      <c r="J12" s="95">
        <f t="shared" si="0"/>
        <v>908741.66</v>
      </c>
      <c r="K12" s="95">
        <v>54477.700000000004</v>
      </c>
      <c r="L12" s="95">
        <v>31423.3</v>
      </c>
      <c r="M12" s="95">
        <f t="shared" si="1"/>
        <v>931796.05999999994</v>
      </c>
      <c r="N12" s="95"/>
      <c r="O12" s="95">
        <v>233759.1</v>
      </c>
      <c r="P12" s="95">
        <v>59766.6</v>
      </c>
      <c r="Q12" s="95">
        <v>37221.799999999996</v>
      </c>
      <c r="S12" s="100">
        <f t="shared" si="2"/>
        <v>15.590581696131283</v>
      </c>
      <c r="T12" s="100">
        <f t="shared" si="3"/>
        <v>3.9861381225372612</v>
      </c>
      <c r="U12" s="100">
        <f t="shared" si="4"/>
        <v>24.414231982332936</v>
      </c>
    </row>
    <row r="13" spans="1:21" x14ac:dyDescent="0.3">
      <c r="D13" s="6" t="s">
        <v>280</v>
      </c>
      <c r="F13" s="93" t="s">
        <v>310</v>
      </c>
      <c r="H13" s="95">
        <v>1078.2</v>
      </c>
      <c r="I13" s="113">
        <v>585.90000000000009</v>
      </c>
      <c r="J13" s="95">
        <f t="shared" si="0"/>
        <v>631717.38000000012</v>
      </c>
      <c r="K13" s="95">
        <v>82628.700000000012</v>
      </c>
      <c r="L13" s="95">
        <v>82354.899999999994</v>
      </c>
      <c r="M13" s="95">
        <f t="shared" si="1"/>
        <v>631991.18000000005</v>
      </c>
      <c r="N13" s="95"/>
      <c r="O13" s="95">
        <v>320248.5</v>
      </c>
      <c r="P13" s="95">
        <v>70440.899999999994</v>
      </c>
      <c r="Q13" s="95">
        <v>33895.5</v>
      </c>
      <c r="S13" s="100">
        <f t="shared" si="2"/>
        <v>8.9719350547764165</v>
      </c>
      <c r="T13" s="100">
        <f t="shared" si="3"/>
        <v>1.9734399380481096</v>
      </c>
      <c r="U13" s="100">
        <f t="shared" si="4"/>
        <v>18.637204938708681</v>
      </c>
    </row>
    <row r="14" spans="1:21" x14ac:dyDescent="0.3">
      <c r="D14" s="6" t="s">
        <v>281</v>
      </c>
      <c r="F14" s="93">
        <v>500488</v>
      </c>
      <c r="H14" s="95">
        <v>32940</v>
      </c>
      <c r="I14" s="113">
        <v>21.200000000000003</v>
      </c>
      <c r="J14" s="95">
        <f t="shared" si="0"/>
        <v>698328.00000000012</v>
      </c>
      <c r="K14" s="95">
        <v>1966.6999999999998</v>
      </c>
      <c r="L14" s="95">
        <v>16279.2</v>
      </c>
      <c r="M14" s="95">
        <f t="shared" si="1"/>
        <v>684015.50000000012</v>
      </c>
      <c r="N14" s="95"/>
      <c r="O14" s="95">
        <v>65898.900000000009</v>
      </c>
      <c r="P14" s="95">
        <v>20302.7</v>
      </c>
      <c r="Q14" s="95">
        <v>14522.9</v>
      </c>
      <c r="S14" s="100">
        <f t="shared" si="2"/>
        <v>33.690863776739057</v>
      </c>
      <c r="T14" s="100">
        <f t="shared" si="3"/>
        <v>10.379771134267795</v>
      </c>
      <c r="U14" s="100">
        <f t="shared" si="4"/>
        <v>48.084611200242385</v>
      </c>
    </row>
    <row r="15" spans="1:21" x14ac:dyDescent="0.3">
      <c r="D15" s="6" t="s">
        <v>282</v>
      </c>
      <c r="F15" s="93">
        <v>500660</v>
      </c>
      <c r="H15" s="95">
        <v>2772.6</v>
      </c>
      <c r="I15" s="113">
        <v>169.4</v>
      </c>
      <c r="J15" s="95">
        <f t="shared" si="0"/>
        <v>469678.44</v>
      </c>
      <c r="K15" s="95">
        <v>99.5</v>
      </c>
      <c r="L15" s="95">
        <v>14035.2</v>
      </c>
      <c r="M15" s="95">
        <f t="shared" si="1"/>
        <v>455742.74</v>
      </c>
      <c r="N15" s="95"/>
      <c r="O15" s="95">
        <v>37397.300000000003</v>
      </c>
      <c r="P15" s="95">
        <v>13520.300000000003</v>
      </c>
      <c r="Q15" s="95">
        <v>9502.6</v>
      </c>
      <c r="S15" s="100">
        <f t="shared" si="2"/>
        <v>33.708034585031392</v>
      </c>
      <c r="T15" s="100">
        <f t="shared" si="3"/>
        <v>12.186514534471739</v>
      </c>
      <c r="U15" s="100">
        <f t="shared" si="4"/>
        <v>49.426308589228206</v>
      </c>
    </row>
    <row r="16" spans="1:21" x14ac:dyDescent="0.3">
      <c r="D16" s="6" t="s">
        <v>283</v>
      </c>
      <c r="F16" s="93" t="s">
        <v>311</v>
      </c>
      <c r="H16" s="95">
        <v>1364.6</v>
      </c>
      <c r="I16" s="113">
        <v>253.70000000000002</v>
      </c>
      <c r="J16" s="95">
        <f t="shared" si="0"/>
        <v>346199.02</v>
      </c>
      <c r="K16" s="95">
        <v>13627.4</v>
      </c>
      <c r="L16" s="95">
        <v>3442.3</v>
      </c>
      <c r="M16" s="95">
        <f t="shared" si="1"/>
        <v>356384.12000000005</v>
      </c>
      <c r="N16" s="95"/>
      <c r="O16" s="95">
        <v>91558.099999999991</v>
      </c>
      <c r="P16" s="95">
        <v>18546.900000000001</v>
      </c>
      <c r="Q16" s="95">
        <v>8189.9</v>
      </c>
      <c r="S16" s="100">
        <f t="shared" si="2"/>
        <v>19.21529312176159</v>
      </c>
      <c r="T16" s="100">
        <f t="shared" si="3"/>
        <v>3.8924368242678704</v>
      </c>
      <c r="U16" s="100">
        <f t="shared" si="4"/>
        <v>42.271458747970065</v>
      </c>
    </row>
    <row r="17" spans="4:21" x14ac:dyDescent="0.3">
      <c r="D17" s="6" t="s">
        <v>284</v>
      </c>
      <c r="F17" s="93" t="s">
        <v>312</v>
      </c>
      <c r="H17" s="95">
        <v>1950.2</v>
      </c>
      <c r="I17" s="113">
        <v>164.8</v>
      </c>
      <c r="J17" s="95">
        <f t="shared" si="0"/>
        <v>321392.96000000002</v>
      </c>
      <c r="K17" s="95">
        <v>3137.3</v>
      </c>
      <c r="L17" s="95">
        <v>25562.1</v>
      </c>
      <c r="M17" s="95">
        <f t="shared" si="1"/>
        <v>298968.16000000003</v>
      </c>
      <c r="N17" s="95"/>
      <c r="O17" s="95">
        <v>57204.1</v>
      </c>
      <c r="P17" s="95">
        <v>15919.9</v>
      </c>
      <c r="Q17" s="95">
        <v>7702.4</v>
      </c>
      <c r="S17" s="100">
        <f t="shared" si="2"/>
        <v>18.779524997016317</v>
      </c>
      <c r="T17" s="100">
        <f t="shared" si="3"/>
        <v>5.2263414685311025</v>
      </c>
      <c r="U17" s="100">
        <f t="shared" si="4"/>
        <v>41.726339842127132</v>
      </c>
    </row>
    <row r="18" spans="4:21" x14ac:dyDescent="0.3">
      <c r="S18" s="100"/>
      <c r="T18" s="100"/>
      <c r="U18" s="100"/>
    </row>
    <row r="19" spans="4:21" x14ac:dyDescent="0.3">
      <c r="D19" s="126" t="s">
        <v>329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8">
        <f>AVERAGE(S8:S17)</f>
        <v>21.660710596218358</v>
      </c>
      <c r="T19" s="128">
        <f t="shared" ref="T19:U19" si="5">AVERAGE(T8:T17)</f>
        <v>6.4128124820874417</v>
      </c>
      <c r="U19" s="128">
        <f t="shared" si="5"/>
        <v>37.834793454793761</v>
      </c>
    </row>
    <row r="20" spans="4:21" x14ac:dyDescent="0.3">
      <c r="D20" s="126" t="s">
        <v>330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8">
        <f>MEDIAN(S8:S17)</f>
        <v>18.997409059388954</v>
      </c>
      <c r="T20" s="128">
        <f t="shared" ref="T20:U20" si="6">MEDIAN(T8:T17)</f>
        <v>4.7253911538744084</v>
      </c>
      <c r="U20" s="128">
        <f t="shared" si="6"/>
        <v>41.998899295048602</v>
      </c>
    </row>
    <row r="21" spans="4:21" x14ac:dyDescent="0.3">
      <c r="S21" s="100"/>
      <c r="T21" s="100"/>
      <c r="U21" s="100"/>
    </row>
    <row r="22" spans="4:21" x14ac:dyDescent="0.3">
      <c r="D22" s="6" t="s">
        <v>1</v>
      </c>
      <c r="F22" s="93" t="s">
        <v>313</v>
      </c>
      <c r="H22" s="95">
        <v>5388.5</v>
      </c>
      <c r="I22" s="96">
        <v>119.57</v>
      </c>
      <c r="J22" s="95">
        <f t="shared" ref="J22" si="7">H22*I22</f>
        <v>644302.94499999995</v>
      </c>
      <c r="K22" s="95">
        <v>13809</v>
      </c>
      <c r="L22" s="95">
        <v>15630.8</v>
      </c>
      <c r="M22" s="95">
        <f t="shared" ref="M22" si="8">J22+K22-L22</f>
        <v>642481.1449999999</v>
      </c>
      <c r="N22" s="95"/>
      <c r="O22" s="95">
        <v>129645</v>
      </c>
      <c r="P22" s="95">
        <v>25122</v>
      </c>
      <c r="Q22" s="95">
        <v>22160</v>
      </c>
      <c r="S22" s="100">
        <f t="shared" ref="S22" si="9">M22/P22</f>
        <v>25.574442520499957</v>
      </c>
      <c r="T22" s="100">
        <f t="shared" ref="T22" si="10">M22/O22</f>
        <v>4.9556955146746882</v>
      </c>
      <c r="U22" s="100">
        <f t="shared" ref="U22" si="11">J22/Q22</f>
        <v>29.075042644404331</v>
      </c>
    </row>
    <row r="24" spans="4:21" x14ac:dyDescent="0.3">
      <c r="D24" s="4" t="s">
        <v>314</v>
      </c>
      <c r="E24" s="85" t="s">
        <v>315</v>
      </c>
      <c r="F24" s="85"/>
      <c r="G24" s="85"/>
      <c r="H24" s="85" t="s">
        <v>263</v>
      </c>
      <c r="I24" s="85" t="s">
        <v>316</v>
      </c>
      <c r="J24" s="85" t="s">
        <v>317</v>
      </c>
      <c r="K24" s="85" t="s">
        <v>261</v>
      </c>
      <c r="L24" s="85" t="s">
        <v>318</v>
      </c>
    </row>
    <row r="25" spans="4:21" x14ac:dyDescent="0.3">
      <c r="D25" s="6" t="s">
        <v>265</v>
      </c>
      <c r="E25" s="100">
        <f>S20</f>
        <v>18.997409059388954</v>
      </c>
      <c r="H25" s="95">
        <f>E25*P22</f>
        <v>477252.9103899693</v>
      </c>
      <c r="I25" s="95">
        <f>$K$22-$L$22</f>
        <v>-1821.7999999999993</v>
      </c>
      <c r="J25" s="95">
        <f>H25-I25</f>
        <v>479074.71038996929</v>
      </c>
      <c r="K25" s="96">
        <f>$I$22</f>
        <v>119.57</v>
      </c>
      <c r="L25" s="94">
        <f>J25/K25</f>
        <v>4006.6464028599926</v>
      </c>
    </row>
    <row r="26" spans="4:21" x14ac:dyDescent="0.3">
      <c r="D26" s="6" t="s">
        <v>266</v>
      </c>
      <c r="E26" s="100">
        <f>T20</f>
        <v>4.7253911538744084</v>
      </c>
      <c r="H26" s="95">
        <f>E26*O22</f>
        <v>612623.33614404767</v>
      </c>
      <c r="I26" s="95">
        <f t="shared" ref="I26:I27" si="12">$K$22-$L$22</f>
        <v>-1821.7999999999993</v>
      </c>
      <c r="J26" s="95">
        <f>H26-I26</f>
        <v>614445.13614404772</v>
      </c>
      <c r="K26" s="96">
        <f t="shared" ref="K26:K27" si="13">$I$22</f>
        <v>119.57</v>
      </c>
      <c r="L26" s="94">
        <f t="shared" ref="L26" si="14">J26/K26</f>
        <v>5138.7901325085541</v>
      </c>
    </row>
    <row r="27" spans="4:21" x14ac:dyDescent="0.3">
      <c r="D27" s="6" t="s">
        <v>267</v>
      </c>
      <c r="E27" s="100">
        <f>U20</f>
        <v>41.998899295048602</v>
      </c>
      <c r="H27" s="95">
        <f>J27+I27</f>
        <v>928873.808378277</v>
      </c>
      <c r="I27" s="95">
        <f t="shared" si="12"/>
        <v>-1821.7999999999993</v>
      </c>
      <c r="J27" s="95">
        <f>E27*Q22</f>
        <v>930695.60837827704</v>
      </c>
      <c r="K27" s="96">
        <f t="shared" si="13"/>
        <v>119.57</v>
      </c>
      <c r="L27" s="94">
        <f>J27/K27</f>
        <v>7783.6882861777794</v>
      </c>
    </row>
  </sheetData>
  <mergeCells count="3">
    <mergeCell ref="H5:M5"/>
    <mergeCell ref="O5:Q5"/>
    <mergeCell ref="S5:U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E906-EB1E-453E-877D-F95DA09EF071}">
  <dimension ref="B2:Q16"/>
  <sheetViews>
    <sheetView showGridLines="0" workbookViewId="0">
      <selection activeCell="I20" sqref="I20"/>
    </sheetView>
  </sheetViews>
  <sheetFormatPr defaultRowHeight="13.2" x14ac:dyDescent="0.25"/>
  <cols>
    <col min="2" max="2" width="17.5546875" bestFit="1" customWidth="1"/>
    <col min="3" max="3" width="8.44140625" bestFit="1" customWidth="1"/>
    <col min="4" max="4" width="17.5546875" bestFit="1" customWidth="1"/>
    <col min="5" max="5" width="17.5546875" style="86" customWidth="1"/>
    <col min="6" max="6" width="11.21875" bestFit="1" customWidth="1"/>
    <col min="7" max="7" width="11.5546875" bestFit="1" customWidth="1"/>
    <col min="8" max="8" width="11.5546875" customWidth="1"/>
    <col min="9" max="9" width="12.33203125" bestFit="1" customWidth="1"/>
    <col min="10" max="10" width="12.33203125" customWidth="1"/>
    <col min="11" max="11" width="13.77734375" bestFit="1" customWidth="1"/>
    <col min="12" max="12" width="14.33203125" bestFit="1" customWidth="1"/>
  </cols>
  <sheetData>
    <row r="2" spans="2:17" x14ac:dyDescent="0.25">
      <c r="B2" s="87" t="s">
        <v>285</v>
      </c>
      <c r="C2" s="87" t="s">
        <v>286</v>
      </c>
      <c r="D2" s="87" t="s">
        <v>287</v>
      </c>
      <c r="E2" s="90" t="s">
        <v>304</v>
      </c>
      <c r="F2" s="87" t="s">
        <v>288</v>
      </c>
      <c r="G2" s="87" t="s">
        <v>289</v>
      </c>
      <c r="H2" s="87" t="s">
        <v>263</v>
      </c>
      <c r="I2" s="87" t="s">
        <v>290</v>
      </c>
      <c r="J2" s="87" t="s">
        <v>162</v>
      </c>
      <c r="K2" s="87" t="s">
        <v>291</v>
      </c>
      <c r="L2" s="87" t="s">
        <v>292</v>
      </c>
      <c r="M2" s="87" t="s">
        <v>328</v>
      </c>
      <c r="O2" s="92" t="s">
        <v>266</v>
      </c>
      <c r="P2" s="92" t="s">
        <v>265</v>
      </c>
      <c r="Q2" s="92" t="s">
        <v>267</v>
      </c>
    </row>
    <row r="3" spans="2:17" x14ac:dyDescent="0.25">
      <c r="B3" s="87" t="s">
        <v>293</v>
      </c>
      <c r="C3" s="88">
        <v>1253.4000000000001</v>
      </c>
      <c r="D3" s="88">
        <v>83.46</v>
      </c>
      <c r="E3" s="91">
        <f>C3*D3</f>
        <v>104608.764</v>
      </c>
      <c r="F3" s="88">
        <v>4676.6000000000004</v>
      </c>
      <c r="G3" s="88">
        <v>2460.1999999999998</v>
      </c>
      <c r="H3" s="88">
        <f>E3+F3-G3</f>
        <v>106825.164</v>
      </c>
      <c r="I3" s="88">
        <v>33519.9</v>
      </c>
      <c r="J3" s="88">
        <v>9807.1</v>
      </c>
      <c r="K3" s="88">
        <v>5742.7</v>
      </c>
      <c r="L3" s="88">
        <v>1959.2</v>
      </c>
      <c r="M3" s="110">
        <v>0.24460000000000001</v>
      </c>
      <c r="O3">
        <f>H3/I3</f>
        <v>3.1869177414013765</v>
      </c>
      <c r="P3">
        <f>H3/J3</f>
        <v>10.89263533562419</v>
      </c>
      <c r="Q3">
        <f>E3/K3</f>
        <v>18.21595486443659</v>
      </c>
    </row>
    <row r="4" spans="2:17" x14ac:dyDescent="0.25">
      <c r="B4" s="87" t="s">
        <v>295</v>
      </c>
      <c r="C4" s="88">
        <v>988.6</v>
      </c>
      <c r="D4" s="88">
        <v>100.62</v>
      </c>
      <c r="E4" s="91">
        <f>C4*D4</f>
        <v>99472.932000000001</v>
      </c>
      <c r="F4" s="88">
        <v>3213.2</v>
      </c>
      <c r="G4" s="88">
        <v>2956.8</v>
      </c>
      <c r="H4" s="88">
        <f t="shared" ref="H4:H12" si="0">E4+F4-G4</f>
        <v>99729.331999999995</v>
      </c>
      <c r="I4" s="88">
        <v>23607.7</v>
      </c>
      <c r="J4" s="88">
        <v>7424.2000000000007</v>
      </c>
      <c r="K4" s="88">
        <v>4711.1000000000004</v>
      </c>
      <c r="L4" s="88">
        <v>1409.8</v>
      </c>
      <c r="M4" s="110">
        <v>0.20549999999999999</v>
      </c>
      <c r="O4">
        <f t="shared" ref="O4:O12" si="1">H4/I4</f>
        <v>4.2244408392177126</v>
      </c>
      <c r="P4">
        <f t="shared" ref="P4:P12" si="2">H4/J4</f>
        <v>13.433007192694161</v>
      </c>
      <c r="Q4">
        <f t="shared" ref="Q4:Q12" si="3">E4/K4</f>
        <v>21.114587251385025</v>
      </c>
    </row>
    <row r="5" spans="2:17" x14ac:dyDescent="0.25">
      <c r="B5" s="87" t="s">
        <v>299</v>
      </c>
      <c r="C5" s="88">
        <v>3617.8</v>
      </c>
      <c r="D5" s="88">
        <v>33.840000000000003</v>
      </c>
      <c r="E5" s="91">
        <f>C5*D5</f>
        <v>122426.35200000001</v>
      </c>
      <c r="F5" s="88">
        <v>3202.32</v>
      </c>
      <c r="G5" s="88">
        <v>579.46</v>
      </c>
      <c r="H5" s="88">
        <f t="shared" si="0"/>
        <v>125049.21200000001</v>
      </c>
      <c r="I5" s="88">
        <v>11835</v>
      </c>
      <c r="J5" s="88">
        <v>3811</v>
      </c>
      <c r="K5" s="88">
        <v>2002</v>
      </c>
      <c r="L5" s="88">
        <v>753</v>
      </c>
      <c r="M5" s="110">
        <v>0.30640000000000001</v>
      </c>
      <c r="O5">
        <f t="shared" si="1"/>
        <v>10.566050866075201</v>
      </c>
      <c r="P5">
        <f t="shared" si="2"/>
        <v>32.812703227499348</v>
      </c>
      <c r="Q5">
        <f t="shared" si="3"/>
        <v>61.152023976023983</v>
      </c>
    </row>
    <row r="6" spans="2:17" x14ac:dyDescent="0.25">
      <c r="B6" s="87" t="s">
        <v>298</v>
      </c>
      <c r="C6" s="88">
        <v>2466</v>
      </c>
      <c r="D6" s="88">
        <v>41.27</v>
      </c>
      <c r="E6" s="91">
        <f>C6*D6</f>
        <v>101771.82</v>
      </c>
      <c r="F6" s="88">
        <v>8511.4500000000007</v>
      </c>
      <c r="G6" s="88">
        <v>554.5</v>
      </c>
      <c r="H6" s="88">
        <f t="shared" si="0"/>
        <v>109728.77</v>
      </c>
      <c r="I6" s="88">
        <v>12925.02</v>
      </c>
      <c r="J6" s="88">
        <v>3725.13</v>
      </c>
      <c r="K6" s="88">
        <v>1912.67</v>
      </c>
      <c r="L6" s="88">
        <v>483.21</v>
      </c>
      <c r="M6" s="110">
        <v>0.20230000000000001</v>
      </c>
      <c r="O6">
        <f t="shared" si="1"/>
        <v>8.4896402481388815</v>
      </c>
      <c r="P6">
        <f t="shared" si="2"/>
        <v>29.45635991227152</v>
      </c>
      <c r="Q6">
        <f t="shared" si="3"/>
        <v>53.209293814406038</v>
      </c>
    </row>
    <row r="7" spans="2:17" x14ac:dyDescent="0.25">
      <c r="B7" s="87" t="s">
        <v>296</v>
      </c>
      <c r="C7" s="88">
        <v>1989.8</v>
      </c>
      <c r="D7" s="88">
        <v>45.67</v>
      </c>
      <c r="E7" s="91">
        <f>C7*D7</f>
        <v>90874.165999999997</v>
      </c>
      <c r="F7" s="88">
        <v>5447.77</v>
      </c>
      <c r="G7" s="88">
        <v>3142.33</v>
      </c>
      <c r="H7" s="88">
        <f t="shared" si="0"/>
        <v>93179.606</v>
      </c>
      <c r="I7" s="88">
        <v>23375.91</v>
      </c>
      <c r="J7" s="88">
        <v>5976.66</v>
      </c>
      <c r="K7" s="88">
        <v>3722.18</v>
      </c>
      <c r="L7" s="88">
        <v>715.33</v>
      </c>
      <c r="M7" s="110">
        <v>0.17100000000000001</v>
      </c>
      <c r="O7">
        <f t="shared" si="1"/>
        <v>3.9861381225372616</v>
      </c>
      <c r="P7">
        <f t="shared" si="2"/>
        <v>15.590581696131284</v>
      </c>
      <c r="Q7">
        <f t="shared" si="3"/>
        <v>24.414231982332936</v>
      </c>
    </row>
    <row r="8" spans="2:17" x14ac:dyDescent="0.25">
      <c r="B8" s="87" t="s">
        <v>294</v>
      </c>
      <c r="C8" s="88">
        <v>1078.2</v>
      </c>
      <c r="D8" s="88">
        <v>58.59</v>
      </c>
      <c r="E8" s="91">
        <f t="shared" ref="E8:E12" si="4">C8*D8</f>
        <v>63171.738000000005</v>
      </c>
      <c r="F8" s="88">
        <v>8262.8700000000008</v>
      </c>
      <c r="G8" s="88">
        <v>8235.49</v>
      </c>
      <c r="H8" s="88">
        <f t="shared" si="0"/>
        <v>63199.118000000009</v>
      </c>
      <c r="I8" s="88">
        <v>32024.85</v>
      </c>
      <c r="J8" s="88">
        <v>7044.09</v>
      </c>
      <c r="K8" s="88">
        <v>3389.55</v>
      </c>
      <c r="L8" s="88">
        <v>1559.65</v>
      </c>
      <c r="M8" s="110">
        <v>0.28670000000000001</v>
      </c>
      <c r="O8">
        <f t="shared" si="1"/>
        <v>1.9734399380481098</v>
      </c>
      <c r="P8">
        <f t="shared" si="2"/>
        <v>8.9719350547764165</v>
      </c>
      <c r="Q8">
        <f t="shared" si="3"/>
        <v>18.637204938708678</v>
      </c>
    </row>
    <row r="9" spans="2:17" x14ac:dyDescent="0.25">
      <c r="B9" s="87" t="s">
        <v>301</v>
      </c>
      <c r="C9" s="88">
        <v>32940</v>
      </c>
      <c r="D9" s="88">
        <v>2.12</v>
      </c>
      <c r="E9" s="91">
        <f>C9*D9</f>
        <v>69832.800000000003</v>
      </c>
      <c r="F9" s="88">
        <v>196.67</v>
      </c>
      <c r="G9" s="88">
        <v>1627.92</v>
      </c>
      <c r="H9" s="88">
        <f t="shared" si="0"/>
        <v>68401.55</v>
      </c>
      <c r="I9" s="88">
        <v>6589.89</v>
      </c>
      <c r="J9" s="88">
        <v>2030.27</v>
      </c>
      <c r="K9" s="88">
        <v>1452.29</v>
      </c>
      <c r="L9" s="88">
        <v>490.57</v>
      </c>
      <c r="M9" s="110">
        <v>0.25440000000000002</v>
      </c>
      <c r="O9">
        <f t="shared" si="1"/>
        <v>10.379771134267795</v>
      </c>
      <c r="P9">
        <f t="shared" si="2"/>
        <v>33.690863776739057</v>
      </c>
      <c r="Q9">
        <f t="shared" si="3"/>
        <v>48.084611200242378</v>
      </c>
    </row>
    <row r="10" spans="2:17" x14ac:dyDescent="0.25">
      <c r="B10" s="87" t="s">
        <v>303</v>
      </c>
      <c r="C10" s="88">
        <v>2772.6</v>
      </c>
      <c r="D10" s="88">
        <v>16.940000000000001</v>
      </c>
      <c r="E10" s="91">
        <f>C10*D10</f>
        <v>46967.844000000005</v>
      </c>
      <c r="F10" s="88">
        <v>9.9499999999999993</v>
      </c>
      <c r="G10" s="88">
        <v>1403.52</v>
      </c>
      <c r="H10" s="88">
        <f t="shared" si="0"/>
        <v>45574.274000000005</v>
      </c>
      <c r="I10" s="88">
        <v>3739.73</v>
      </c>
      <c r="J10" s="88">
        <v>1352.0300000000002</v>
      </c>
      <c r="K10" s="88">
        <v>950.26</v>
      </c>
      <c r="L10" s="88">
        <v>339.2</v>
      </c>
      <c r="M10" s="110">
        <v>0.28089999999999998</v>
      </c>
      <c r="O10">
        <f t="shared" si="1"/>
        <v>12.18651453447174</v>
      </c>
      <c r="P10">
        <f t="shared" si="2"/>
        <v>33.708034585031399</v>
      </c>
      <c r="Q10">
        <f t="shared" si="3"/>
        <v>49.426308589228213</v>
      </c>
    </row>
    <row r="11" spans="2:17" x14ac:dyDescent="0.25">
      <c r="B11" s="87" t="s">
        <v>300</v>
      </c>
      <c r="C11" s="88">
        <v>1364.6</v>
      </c>
      <c r="D11" s="88">
        <v>25.37</v>
      </c>
      <c r="E11" s="91">
        <f t="shared" si="4"/>
        <v>34619.902000000002</v>
      </c>
      <c r="F11" s="88">
        <v>1362.74</v>
      </c>
      <c r="G11" s="88">
        <v>344.23</v>
      </c>
      <c r="H11" s="88">
        <f t="shared" si="0"/>
        <v>35638.411999999997</v>
      </c>
      <c r="I11" s="88">
        <v>9155.81</v>
      </c>
      <c r="J11" s="88">
        <v>1854.69</v>
      </c>
      <c r="K11" s="88">
        <v>818.99</v>
      </c>
      <c r="L11" s="88">
        <v>348.29</v>
      </c>
      <c r="M11" s="110">
        <v>0.32450000000000001</v>
      </c>
      <c r="O11">
        <f t="shared" si="1"/>
        <v>3.8924368242678691</v>
      </c>
      <c r="P11">
        <f t="shared" si="2"/>
        <v>19.215293121761587</v>
      </c>
      <c r="Q11">
        <f t="shared" si="3"/>
        <v>42.271458747970065</v>
      </c>
    </row>
    <row r="12" spans="2:17" x14ac:dyDescent="0.25">
      <c r="B12" s="87" t="s">
        <v>302</v>
      </c>
      <c r="C12" s="88">
        <v>1950.2</v>
      </c>
      <c r="D12" s="88">
        <v>16.48</v>
      </c>
      <c r="E12" s="91">
        <f t="shared" si="4"/>
        <v>32139.296000000002</v>
      </c>
      <c r="F12" s="88">
        <v>313.73</v>
      </c>
      <c r="G12" s="88">
        <v>2556.21</v>
      </c>
      <c r="H12" s="88">
        <f t="shared" si="0"/>
        <v>29896.816000000003</v>
      </c>
      <c r="I12" s="88">
        <v>5720.41</v>
      </c>
      <c r="J12" s="88">
        <v>1591.99</v>
      </c>
      <c r="K12" s="88">
        <v>770.24</v>
      </c>
      <c r="L12" s="88">
        <v>386.9</v>
      </c>
      <c r="M12" s="110">
        <v>0.30330000000000001</v>
      </c>
      <c r="O12">
        <f t="shared" si="1"/>
        <v>5.2263414685311025</v>
      </c>
      <c r="P12">
        <f t="shared" si="2"/>
        <v>18.779524997016313</v>
      </c>
      <c r="Q12">
        <f t="shared" si="3"/>
        <v>41.726339842127132</v>
      </c>
    </row>
    <row r="13" spans="2:17" x14ac:dyDescent="0.25">
      <c r="B13" s="89" t="s">
        <v>305</v>
      </c>
      <c r="M13" s="111"/>
      <c r="O13">
        <f>AVERAGE(O3:O12)</f>
        <v>6.411169171695704</v>
      </c>
      <c r="P13">
        <f>AVERAGE(P3:P12)</f>
        <v>21.655093889954532</v>
      </c>
      <c r="Q13">
        <f t="shared" ref="Q13" si="5">AVERAGE(Q3:Q12)</f>
        <v>37.8252015206861</v>
      </c>
    </row>
    <row r="14" spans="2:17" x14ac:dyDescent="0.25">
      <c r="B14" s="89" t="s">
        <v>306</v>
      </c>
      <c r="M14" s="111"/>
      <c r="O14">
        <f>MEDIAN(O3:O12)</f>
        <v>4.7253911538744076</v>
      </c>
      <c r="P14">
        <f>MEDIAN(P3:P12)</f>
        <v>18.99740905938895</v>
      </c>
      <c r="Q14">
        <f t="shared" ref="Q14" si="6">MEDIAN(Q3:Q12)</f>
        <v>41.998899295048602</v>
      </c>
    </row>
    <row r="15" spans="2:17" x14ac:dyDescent="0.25">
      <c r="M15" s="111"/>
    </row>
    <row r="16" spans="2:17" x14ac:dyDescent="0.25">
      <c r="B16" s="87" t="s">
        <v>297</v>
      </c>
      <c r="C16" s="88">
        <v>5388.5</v>
      </c>
      <c r="D16" s="88">
        <v>11.96</v>
      </c>
      <c r="E16" s="91">
        <f>C16*D16</f>
        <v>64446.460000000006</v>
      </c>
      <c r="F16" s="88">
        <v>1380.9</v>
      </c>
      <c r="G16" s="88">
        <v>1563.08</v>
      </c>
      <c r="H16" s="88">
        <f>E16+F16-G16</f>
        <v>64264.28</v>
      </c>
      <c r="I16" s="88">
        <v>13303.84</v>
      </c>
      <c r="J16" s="88">
        <v>3152.48</v>
      </c>
      <c r="K16" s="88">
        <v>2333.0500000000002</v>
      </c>
      <c r="L16" s="88">
        <v>344.6</v>
      </c>
      <c r="M16" s="110">
        <v>0.15679999999999999</v>
      </c>
      <c r="O16">
        <f>H16/I16</f>
        <v>4.8305060794477379</v>
      </c>
      <c r="P16">
        <f>H16/J16</f>
        <v>20.385309343754759</v>
      </c>
      <c r="Q16">
        <f>E16/K16</f>
        <v>27.623265682261419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1CFA-8446-4F02-9B59-4FACAF2CDC0B}">
  <dimension ref="A1:Q2481"/>
  <sheetViews>
    <sheetView showGridLines="0" workbookViewId="0">
      <selection activeCell="B10" sqref="B10"/>
    </sheetView>
  </sheetViews>
  <sheetFormatPr defaultColWidth="8.88671875" defaultRowHeight="13.8" x14ac:dyDescent="0.3"/>
  <cols>
    <col min="1" max="2" width="12" style="6" customWidth="1"/>
    <col min="3" max="3" width="8.88671875" style="6" customWidth="1"/>
    <col min="4" max="4" width="14.109375" style="6" customWidth="1"/>
    <col min="5" max="5" width="9.88671875" style="6" bestFit="1" customWidth="1"/>
    <col min="6" max="6" width="10.33203125" style="6" bestFit="1" customWidth="1"/>
    <col min="7" max="16384" width="8.88671875" style="6"/>
  </cols>
  <sheetData>
    <row r="1" spans="1:17" ht="33.6" x14ac:dyDescent="0.65">
      <c r="A1" s="1" t="str">
        <f>Historical!A1</f>
        <v>Alkem Laboratories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6" x14ac:dyDescent="0.3">
      <c r="A2" s="31" t="s">
        <v>319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spans="1:17" x14ac:dyDescent="0.3">
      <c r="A4" s="85"/>
      <c r="B4" s="85" t="s">
        <v>321</v>
      </c>
    </row>
    <row r="5" spans="1:17" x14ac:dyDescent="0.3">
      <c r="A5" s="85" t="s">
        <v>320</v>
      </c>
      <c r="B5" s="85" t="s">
        <v>322</v>
      </c>
      <c r="D5" s="78" t="s">
        <v>321</v>
      </c>
      <c r="E5" s="103" t="s">
        <v>325</v>
      </c>
    </row>
    <row r="6" spans="1:17" x14ac:dyDescent="0.3">
      <c r="A6" s="101">
        <v>45898</v>
      </c>
      <c r="B6" s="102">
        <v>24426.85</v>
      </c>
    </row>
    <row r="7" spans="1:17" x14ac:dyDescent="0.3">
      <c r="A7" s="101">
        <v>45897</v>
      </c>
      <c r="B7" s="102">
        <v>24500.9</v>
      </c>
      <c r="D7" s="78" t="s">
        <v>323</v>
      </c>
      <c r="E7" s="104">
        <f>YEARFRAC(A2477,A6)</f>
        <v>9.9861111111111107</v>
      </c>
    </row>
    <row r="8" spans="1:17" x14ac:dyDescent="0.3">
      <c r="A8" s="101">
        <v>45895</v>
      </c>
      <c r="B8" s="102">
        <v>24712.05</v>
      </c>
    </row>
    <row r="9" spans="1:17" x14ac:dyDescent="0.3">
      <c r="A9" s="101">
        <v>45894</v>
      </c>
      <c r="B9" s="102">
        <v>24967.75</v>
      </c>
      <c r="D9" s="78" t="s">
        <v>324</v>
      </c>
      <c r="E9" s="105">
        <f>_xlfn.RRI(E7,B2477,B6)</f>
        <v>0.12321276262999481</v>
      </c>
    </row>
    <row r="10" spans="1:17" x14ac:dyDescent="0.3">
      <c r="A10" s="101">
        <v>45891</v>
      </c>
      <c r="B10" s="102">
        <v>24870.1</v>
      </c>
    </row>
    <row r="11" spans="1:17" x14ac:dyDescent="0.3">
      <c r="A11" s="101">
        <v>45890</v>
      </c>
      <c r="B11" s="102">
        <v>25083.75</v>
      </c>
      <c r="E11" s="106"/>
    </row>
    <row r="12" spans="1:17" x14ac:dyDescent="0.3">
      <c r="A12" s="101">
        <v>45889</v>
      </c>
      <c r="B12" s="102">
        <v>25050.55</v>
      </c>
    </row>
    <row r="13" spans="1:17" x14ac:dyDescent="0.3">
      <c r="A13" s="101">
        <v>45888</v>
      </c>
      <c r="B13" s="102">
        <v>24980.65</v>
      </c>
    </row>
    <row r="14" spans="1:17" x14ac:dyDescent="0.3">
      <c r="A14" s="101">
        <v>45887</v>
      </c>
      <c r="B14" s="102">
        <v>24876.95</v>
      </c>
    </row>
    <row r="15" spans="1:17" x14ac:dyDescent="0.3">
      <c r="A15" s="101">
        <v>45883</v>
      </c>
      <c r="B15" s="102">
        <v>24631.3</v>
      </c>
    </row>
    <row r="16" spans="1:17" x14ac:dyDescent="0.3">
      <c r="A16" s="101">
        <v>45882</v>
      </c>
      <c r="B16" s="102">
        <v>24619.35</v>
      </c>
      <c r="F16" s="101"/>
    </row>
    <row r="17" spans="1:6" x14ac:dyDescent="0.3">
      <c r="A17" s="101">
        <v>45881</v>
      </c>
      <c r="B17" s="102">
        <v>24487.4</v>
      </c>
      <c r="F17" s="101"/>
    </row>
    <row r="18" spans="1:6" x14ac:dyDescent="0.3">
      <c r="A18" s="101">
        <v>45880</v>
      </c>
      <c r="B18" s="102">
        <v>24585.05</v>
      </c>
      <c r="F18" s="101"/>
    </row>
    <row r="19" spans="1:6" x14ac:dyDescent="0.3">
      <c r="A19" s="101">
        <v>45877</v>
      </c>
      <c r="B19" s="102">
        <v>24363.3</v>
      </c>
      <c r="F19" s="101"/>
    </row>
    <row r="20" spans="1:6" x14ac:dyDescent="0.3">
      <c r="A20" s="101">
        <v>45876</v>
      </c>
      <c r="B20" s="102">
        <v>24596.15</v>
      </c>
      <c r="F20" s="101"/>
    </row>
    <row r="21" spans="1:6" x14ac:dyDescent="0.3">
      <c r="A21" s="101">
        <v>45875</v>
      </c>
      <c r="B21" s="102">
        <v>24574.2</v>
      </c>
      <c r="F21" s="101"/>
    </row>
    <row r="22" spans="1:6" x14ac:dyDescent="0.3">
      <c r="A22" s="101">
        <v>45874</v>
      </c>
      <c r="B22" s="102">
        <v>24649.55</v>
      </c>
      <c r="F22" s="101"/>
    </row>
    <row r="23" spans="1:6" x14ac:dyDescent="0.3">
      <c r="A23" s="101">
        <v>45873</v>
      </c>
      <c r="B23" s="102">
        <v>24722.75</v>
      </c>
      <c r="F23" s="101"/>
    </row>
    <row r="24" spans="1:6" x14ac:dyDescent="0.3">
      <c r="A24" s="101">
        <v>45870</v>
      </c>
      <c r="B24" s="102">
        <v>24565.35</v>
      </c>
      <c r="F24" s="101"/>
    </row>
    <row r="25" spans="1:6" x14ac:dyDescent="0.3">
      <c r="A25" s="101">
        <v>45869</v>
      </c>
      <c r="B25" s="102">
        <v>24768.35</v>
      </c>
      <c r="F25" s="101"/>
    </row>
    <row r="26" spans="1:6" x14ac:dyDescent="0.3">
      <c r="A26" s="101">
        <v>45868</v>
      </c>
      <c r="B26" s="102">
        <v>24855.05</v>
      </c>
      <c r="F26" s="101"/>
    </row>
    <row r="27" spans="1:6" x14ac:dyDescent="0.3">
      <c r="A27" s="101">
        <v>45867</v>
      </c>
      <c r="B27" s="102">
        <v>24821.1</v>
      </c>
      <c r="F27" s="101"/>
    </row>
    <row r="28" spans="1:6" x14ac:dyDescent="0.3">
      <c r="A28" s="101">
        <v>45866</v>
      </c>
      <c r="B28" s="102">
        <v>24680.9</v>
      </c>
    </row>
    <row r="29" spans="1:6" x14ac:dyDescent="0.3">
      <c r="A29" s="101">
        <v>45863</v>
      </c>
      <c r="B29" s="102">
        <v>24837</v>
      </c>
    </row>
    <row r="30" spans="1:6" x14ac:dyDescent="0.3">
      <c r="A30" s="101">
        <v>45862</v>
      </c>
      <c r="B30" s="102">
        <v>25062.1</v>
      </c>
    </row>
    <row r="31" spans="1:6" x14ac:dyDescent="0.3">
      <c r="A31" s="101">
        <v>45861</v>
      </c>
      <c r="B31" s="102">
        <v>25219.9</v>
      </c>
    </row>
    <row r="32" spans="1:6" x14ac:dyDescent="0.3">
      <c r="A32" s="101">
        <v>45860</v>
      </c>
      <c r="B32" s="102">
        <v>25060.9</v>
      </c>
    </row>
    <row r="33" spans="1:2" x14ac:dyDescent="0.3">
      <c r="A33" s="101">
        <v>45859</v>
      </c>
      <c r="B33" s="102">
        <v>25090.7</v>
      </c>
    </row>
    <row r="34" spans="1:2" x14ac:dyDescent="0.3">
      <c r="A34" s="101">
        <v>45856</v>
      </c>
      <c r="B34" s="102">
        <v>24968.400000000001</v>
      </c>
    </row>
    <row r="35" spans="1:2" x14ac:dyDescent="0.3">
      <c r="A35" s="101">
        <v>45855</v>
      </c>
      <c r="B35" s="102">
        <v>25111.45</v>
      </c>
    </row>
    <row r="36" spans="1:2" x14ac:dyDescent="0.3">
      <c r="A36" s="101">
        <v>45854</v>
      </c>
      <c r="B36" s="102">
        <v>25212.05</v>
      </c>
    </row>
    <row r="37" spans="1:2" x14ac:dyDescent="0.3">
      <c r="A37" s="101">
        <v>45853</v>
      </c>
      <c r="B37" s="102">
        <v>25195.8</v>
      </c>
    </row>
    <row r="38" spans="1:2" x14ac:dyDescent="0.3">
      <c r="A38" s="101">
        <v>45852</v>
      </c>
      <c r="B38" s="102">
        <v>25082.3</v>
      </c>
    </row>
    <row r="39" spans="1:2" x14ac:dyDescent="0.3">
      <c r="A39" s="101">
        <v>45849</v>
      </c>
      <c r="B39" s="102">
        <v>25149.85</v>
      </c>
    </row>
    <row r="40" spans="1:2" x14ac:dyDescent="0.3">
      <c r="A40" s="101">
        <v>45848</v>
      </c>
      <c r="B40" s="102">
        <v>25355.25</v>
      </c>
    </row>
    <row r="41" spans="1:2" x14ac:dyDescent="0.3">
      <c r="A41" s="101">
        <v>45847</v>
      </c>
      <c r="B41" s="102">
        <v>25476.1</v>
      </c>
    </row>
    <row r="42" spans="1:2" x14ac:dyDescent="0.3">
      <c r="A42" s="101">
        <v>45846</v>
      </c>
      <c r="B42" s="102">
        <v>25522.5</v>
      </c>
    </row>
    <row r="43" spans="1:2" x14ac:dyDescent="0.3">
      <c r="A43" s="101">
        <v>45845</v>
      </c>
      <c r="B43" s="102">
        <v>25461.3</v>
      </c>
    </row>
    <row r="44" spans="1:2" x14ac:dyDescent="0.3">
      <c r="A44" s="101">
        <v>45842</v>
      </c>
      <c r="B44" s="102">
        <v>25461</v>
      </c>
    </row>
    <row r="45" spans="1:2" x14ac:dyDescent="0.3">
      <c r="A45" s="101">
        <v>45841</v>
      </c>
      <c r="B45" s="102">
        <v>25405.3</v>
      </c>
    </row>
    <row r="46" spans="1:2" x14ac:dyDescent="0.3">
      <c r="A46" s="101">
        <v>45840</v>
      </c>
      <c r="B46" s="102">
        <v>25453.4</v>
      </c>
    </row>
    <row r="47" spans="1:2" x14ac:dyDescent="0.3">
      <c r="A47" s="101">
        <v>45839</v>
      </c>
      <c r="B47" s="102">
        <v>25541.8</v>
      </c>
    </row>
    <row r="48" spans="1:2" x14ac:dyDescent="0.3">
      <c r="A48" s="101">
        <v>45838</v>
      </c>
      <c r="B48" s="102">
        <v>25517.05</v>
      </c>
    </row>
    <row r="49" spans="1:2" x14ac:dyDescent="0.3">
      <c r="A49" s="101">
        <v>45835</v>
      </c>
      <c r="B49" s="102">
        <v>25637.8</v>
      </c>
    </row>
    <row r="50" spans="1:2" x14ac:dyDescent="0.3">
      <c r="A50" s="101">
        <v>45834</v>
      </c>
      <c r="B50" s="102">
        <v>25549</v>
      </c>
    </row>
    <row r="51" spans="1:2" x14ac:dyDescent="0.3">
      <c r="A51" s="101">
        <v>45833</v>
      </c>
      <c r="B51" s="102">
        <v>25244.75</v>
      </c>
    </row>
    <row r="52" spans="1:2" x14ac:dyDescent="0.3">
      <c r="A52" s="101">
        <v>45832</v>
      </c>
      <c r="B52" s="102">
        <v>25044.35</v>
      </c>
    </row>
    <row r="53" spans="1:2" x14ac:dyDescent="0.3">
      <c r="A53" s="101">
        <v>45831</v>
      </c>
      <c r="B53" s="102">
        <v>24971.9</v>
      </c>
    </row>
    <row r="54" spans="1:2" x14ac:dyDescent="0.3">
      <c r="A54" s="101">
        <v>45828</v>
      </c>
      <c r="B54" s="102">
        <v>25112.400000000001</v>
      </c>
    </row>
    <row r="55" spans="1:2" x14ac:dyDescent="0.3">
      <c r="A55" s="101">
        <v>45827</v>
      </c>
      <c r="B55" s="102">
        <v>24793.25</v>
      </c>
    </row>
    <row r="56" spans="1:2" x14ac:dyDescent="0.3">
      <c r="A56" s="101">
        <v>45826</v>
      </c>
      <c r="B56" s="102">
        <v>24812.05</v>
      </c>
    </row>
    <row r="57" spans="1:2" x14ac:dyDescent="0.3">
      <c r="A57" s="101">
        <v>45825</v>
      </c>
      <c r="B57" s="102">
        <v>24853.4</v>
      </c>
    </row>
    <row r="58" spans="1:2" x14ac:dyDescent="0.3">
      <c r="A58" s="101">
        <v>45824</v>
      </c>
      <c r="B58" s="102">
        <v>24946.5</v>
      </c>
    </row>
    <row r="59" spans="1:2" x14ac:dyDescent="0.3">
      <c r="A59" s="101">
        <v>45821</v>
      </c>
      <c r="B59" s="102">
        <v>24718.6</v>
      </c>
    </row>
    <row r="60" spans="1:2" x14ac:dyDescent="0.3">
      <c r="A60" s="101">
        <v>45820</v>
      </c>
      <c r="B60" s="102">
        <v>24888.2</v>
      </c>
    </row>
    <row r="61" spans="1:2" x14ac:dyDescent="0.3">
      <c r="A61" s="101">
        <v>45819</v>
      </c>
      <c r="B61" s="102">
        <v>25141.4</v>
      </c>
    </row>
    <row r="62" spans="1:2" x14ac:dyDescent="0.3">
      <c r="A62" s="101">
        <v>45818</v>
      </c>
      <c r="B62" s="102">
        <v>25104.25</v>
      </c>
    </row>
    <row r="63" spans="1:2" x14ac:dyDescent="0.3">
      <c r="A63" s="101">
        <v>45817</v>
      </c>
      <c r="B63" s="102">
        <v>25103.200000000001</v>
      </c>
    </row>
    <row r="64" spans="1:2" x14ac:dyDescent="0.3">
      <c r="A64" s="101">
        <v>45814</v>
      </c>
      <c r="B64" s="102">
        <v>25003.05</v>
      </c>
    </row>
    <row r="65" spans="1:2" x14ac:dyDescent="0.3">
      <c r="A65" s="101">
        <v>45813</v>
      </c>
      <c r="B65" s="102">
        <v>24750.9</v>
      </c>
    </row>
    <row r="66" spans="1:2" x14ac:dyDescent="0.3">
      <c r="A66" s="101">
        <v>45812</v>
      </c>
      <c r="B66" s="102">
        <v>24620.2</v>
      </c>
    </row>
    <row r="67" spans="1:2" x14ac:dyDescent="0.3">
      <c r="A67" s="101">
        <v>45811</v>
      </c>
      <c r="B67" s="102">
        <v>24542.5</v>
      </c>
    </row>
    <row r="68" spans="1:2" x14ac:dyDescent="0.3">
      <c r="A68" s="101">
        <v>45810</v>
      </c>
      <c r="B68" s="102">
        <v>24716.6</v>
      </c>
    </row>
    <row r="69" spans="1:2" x14ac:dyDescent="0.3">
      <c r="A69" s="101">
        <v>45807</v>
      </c>
      <c r="B69" s="102">
        <v>24750.7</v>
      </c>
    </row>
    <row r="70" spans="1:2" x14ac:dyDescent="0.3">
      <c r="A70" s="101">
        <v>45806</v>
      </c>
      <c r="B70" s="102">
        <v>24833.599999999999</v>
      </c>
    </row>
    <row r="71" spans="1:2" x14ac:dyDescent="0.3">
      <c r="A71" s="101">
        <v>45805</v>
      </c>
      <c r="B71" s="102">
        <v>24752.45</v>
      </c>
    </row>
    <row r="72" spans="1:2" x14ac:dyDescent="0.3">
      <c r="A72" s="101">
        <v>45804</v>
      </c>
      <c r="B72" s="102">
        <v>24826.2</v>
      </c>
    </row>
    <row r="73" spans="1:2" x14ac:dyDescent="0.3">
      <c r="A73" s="101">
        <v>45803</v>
      </c>
      <c r="B73" s="102">
        <v>25001.15</v>
      </c>
    </row>
    <row r="74" spans="1:2" x14ac:dyDescent="0.3">
      <c r="A74" s="101">
        <v>45800</v>
      </c>
      <c r="B74" s="102">
        <v>24853.15</v>
      </c>
    </row>
    <row r="75" spans="1:2" x14ac:dyDescent="0.3">
      <c r="A75" s="101">
        <v>45799</v>
      </c>
      <c r="B75" s="102">
        <v>24609.7</v>
      </c>
    </row>
    <row r="76" spans="1:2" x14ac:dyDescent="0.3">
      <c r="A76" s="101">
        <v>45798</v>
      </c>
      <c r="B76" s="102">
        <v>24813.45</v>
      </c>
    </row>
    <row r="77" spans="1:2" x14ac:dyDescent="0.3">
      <c r="A77" s="101">
        <v>45797</v>
      </c>
      <c r="B77" s="102">
        <v>24683.9</v>
      </c>
    </row>
    <row r="78" spans="1:2" x14ac:dyDescent="0.3">
      <c r="A78" s="101">
        <v>45796</v>
      </c>
      <c r="B78" s="102">
        <v>24945.45</v>
      </c>
    </row>
    <row r="79" spans="1:2" x14ac:dyDescent="0.3">
      <c r="A79" s="101">
        <v>45793</v>
      </c>
      <c r="B79" s="102">
        <v>25019.8</v>
      </c>
    </row>
    <row r="80" spans="1:2" x14ac:dyDescent="0.3">
      <c r="A80" s="101">
        <v>45792</v>
      </c>
      <c r="B80" s="102">
        <v>25062.1</v>
      </c>
    </row>
    <row r="81" spans="1:2" x14ac:dyDescent="0.3">
      <c r="A81" s="101">
        <v>45791</v>
      </c>
      <c r="B81" s="102">
        <v>24666.9</v>
      </c>
    </row>
    <row r="82" spans="1:2" x14ac:dyDescent="0.3">
      <c r="A82" s="101">
        <v>45790</v>
      </c>
      <c r="B82" s="102">
        <v>24578.35</v>
      </c>
    </row>
    <row r="83" spans="1:2" x14ac:dyDescent="0.3">
      <c r="A83" s="101">
        <v>45789</v>
      </c>
      <c r="B83" s="102">
        <v>24924.7</v>
      </c>
    </row>
    <row r="84" spans="1:2" x14ac:dyDescent="0.3">
      <c r="A84" s="101">
        <v>45786</v>
      </c>
      <c r="B84" s="102">
        <v>24008</v>
      </c>
    </row>
    <row r="85" spans="1:2" x14ac:dyDescent="0.3">
      <c r="A85" s="101">
        <v>45785</v>
      </c>
      <c r="B85" s="102">
        <v>24273.8</v>
      </c>
    </row>
    <row r="86" spans="1:2" x14ac:dyDescent="0.3">
      <c r="A86" s="101">
        <v>45784</v>
      </c>
      <c r="B86" s="102">
        <v>24414.400000000001</v>
      </c>
    </row>
    <row r="87" spans="1:2" x14ac:dyDescent="0.3">
      <c r="A87" s="101">
        <v>45783</v>
      </c>
      <c r="B87" s="102">
        <v>24379.599999999999</v>
      </c>
    </row>
    <row r="88" spans="1:2" x14ac:dyDescent="0.3">
      <c r="A88" s="101">
        <v>45782</v>
      </c>
      <c r="B88" s="102">
        <v>24461.15</v>
      </c>
    </row>
    <row r="89" spans="1:2" x14ac:dyDescent="0.3">
      <c r="A89" s="101">
        <v>45779</v>
      </c>
      <c r="B89" s="102">
        <v>24346.7</v>
      </c>
    </row>
    <row r="90" spans="1:2" x14ac:dyDescent="0.3">
      <c r="A90" s="101">
        <v>45777</v>
      </c>
      <c r="B90" s="102">
        <v>24334.2</v>
      </c>
    </row>
    <row r="91" spans="1:2" x14ac:dyDescent="0.3">
      <c r="A91" s="101">
        <v>45776</v>
      </c>
      <c r="B91" s="102">
        <v>24335.95</v>
      </c>
    </row>
    <row r="92" spans="1:2" x14ac:dyDescent="0.3">
      <c r="A92" s="101">
        <v>45775</v>
      </c>
      <c r="B92" s="102">
        <v>24328.5</v>
      </c>
    </row>
    <row r="93" spans="1:2" x14ac:dyDescent="0.3">
      <c r="A93" s="101">
        <v>45772</v>
      </c>
      <c r="B93" s="102">
        <v>24039.35</v>
      </c>
    </row>
    <row r="94" spans="1:2" x14ac:dyDescent="0.3">
      <c r="A94" s="101">
        <v>45771</v>
      </c>
      <c r="B94" s="102">
        <v>24246.7</v>
      </c>
    </row>
    <row r="95" spans="1:2" x14ac:dyDescent="0.3">
      <c r="A95" s="101">
        <v>45770</v>
      </c>
      <c r="B95" s="102">
        <v>24328.95</v>
      </c>
    </row>
    <row r="96" spans="1:2" x14ac:dyDescent="0.3">
      <c r="A96" s="101">
        <v>45769</v>
      </c>
      <c r="B96" s="102">
        <v>24167.25</v>
      </c>
    </row>
    <row r="97" spans="1:2" x14ac:dyDescent="0.3">
      <c r="A97" s="101">
        <v>45768</v>
      </c>
      <c r="B97" s="102">
        <v>24125.55</v>
      </c>
    </row>
    <row r="98" spans="1:2" x14ac:dyDescent="0.3">
      <c r="A98" s="101">
        <v>45764</v>
      </c>
      <c r="B98" s="102">
        <v>23851.65</v>
      </c>
    </row>
    <row r="99" spans="1:2" x14ac:dyDescent="0.3">
      <c r="A99" s="101">
        <v>45763</v>
      </c>
      <c r="B99" s="102">
        <v>23437.200000000001</v>
      </c>
    </row>
    <row r="100" spans="1:2" x14ac:dyDescent="0.3">
      <c r="A100" s="101">
        <v>45762</v>
      </c>
      <c r="B100" s="102">
        <v>23328.55</v>
      </c>
    </row>
    <row r="101" spans="1:2" x14ac:dyDescent="0.3">
      <c r="A101" s="101">
        <v>45758</v>
      </c>
      <c r="B101" s="102">
        <v>22828.55</v>
      </c>
    </row>
    <row r="102" spans="1:2" x14ac:dyDescent="0.3">
      <c r="A102" s="101">
        <v>45756</v>
      </c>
      <c r="B102" s="102">
        <v>22399.15</v>
      </c>
    </row>
    <row r="103" spans="1:2" x14ac:dyDescent="0.3">
      <c r="A103" s="101">
        <v>45755</v>
      </c>
      <c r="B103" s="102">
        <v>22535.85</v>
      </c>
    </row>
    <row r="104" spans="1:2" x14ac:dyDescent="0.3">
      <c r="A104" s="101">
        <v>45754</v>
      </c>
      <c r="B104" s="102">
        <v>22161.599999999999</v>
      </c>
    </row>
    <row r="105" spans="1:2" x14ac:dyDescent="0.3">
      <c r="A105" s="101">
        <v>45751</v>
      </c>
      <c r="B105" s="102">
        <v>22904.45</v>
      </c>
    </row>
    <row r="106" spans="1:2" x14ac:dyDescent="0.3">
      <c r="A106" s="101">
        <v>45750</v>
      </c>
      <c r="B106" s="102">
        <v>23250.1</v>
      </c>
    </row>
    <row r="107" spans="1:2" x14ac:dyDescent="0.3">
      <c r="A107" s="101">
        <v>45749</v>
      </c>
      <c r="B107" s="102">
        <v>23332.35</v>
      </c>
    </row>
    <row r="108" spans="1:2" x14ac:dyDescent="0.3">
      <c r="A108" s="101">
        <v>45748</v>
      </c>
      <c r="B108" s="102">
        <v>23165.7</v>
      </c>
    </row>
    <row r="109" spans="1:2" x14ac:dyDescent="0.3">
      <c r="A109" s="101">
        <v>45744</v>
      </c>
      <c r="B109" s="102">
        <v>23519.35</v>
      </c>
    </row>
    <row r="110" spans="1:2" x14ac:dyDescent="0.3">
      <c r="A110" s="101">
        <v>45743</v>
      </c>
      <c r="B110" s="102">
        <v>23591.95</v>
      </c>
    </row>
    <row r="111" spans="1:2" x14ac:dyDescent="0.3">
      <c r="A111" s="101">
        <v>45742</v>
      </c>
      <c r="B111" s="102">
        <v>23486.85</v>
      </c>
    </row>
    <row r="112" spans="1:2" x14ac:dyDescent="0.3">
      <c r="A112" s="101">
        <v>45741</v>
      </c>
      <c r="B112" s="102">
        <v>23668.65</v>
      </c>
    </row>
    <row r="113" spans="1:2" x14ac:dyDescent="0.3">
      <c r="A113" s="101">
        <v>45740</v>
      </c>
      <c r="B113" s="102">
        <v>23658.35</v>
      </c>
    </row>
    <row r="114" spans="1:2" x14ac:dyDescent="0.3">
      <c r="A114" s="101">
        <v>45737</v>
      </c>
      <c r="B114" s="102">
        <v>23350.400000000001</v>
      </c>
    </row>
    <row r="115" spans="1:2" x14ac:dyDescent="0.3">
      <c r="A115" s="101">
        <v>45736</v>
      </c>
      <c r="B115" s="102">
        <v>23190.65</v>
      </c>
    </row>
    <row r="116" spans="1:2" x14ac:dyDescent="0.3">
      <c r="A116" s="101">
        <v>45735</v>
      </c>
      <c r="B116" s="102">
        <v>22907.599999999999</v>
      </c>
    </row>
    <row r="117" spans="1:2" x14ac:dyDescent="0.3">
      <c r="A117" s="101">
        <v>45734</v>
      </c>
      <c r="B117" s="102">
        <v>22834.3</v>
      </c>
    </row>
    <row r="118" spans="1:2" x14ac:dyDescent="0.3">
      <c r="A118" s="101">
        <v>45733</v>
      </c>
      <c r="B118" s="102">
        <v>22508.75</v>
      </c>
    </row>
    <row r="119" spans="1:2" x14ac:dyDescent="0.3">
      <c r="A119" s="101">
        <v>45729</v>
      </c>
      <c r="B119" s="102">
        <v>22397.200000000001</v>
      </c>
    </row>
    <row r="120" spans="1:2" x14ac:dyDescent="0.3">
      <c r="A120" s="101">
        <v>45728</v>
      </c>
      <c r="B120" s="102">
        <v>22470.5</v>
      </c>
    </row>
    <row r="121" spans="1:2" x14ac:dyDescent="0.3">
      <c r="A121" s="101">
        <v>45727</v>
      </c>
      <c r="B121" s="102">
        <v>22497.9</v>
      </c>
    </row>
    <row r="122" spans="1:2" x14ac:dyDescent="0.3">
      <c r="A122" s="101">
        <v>45726</v>
      </c>
      <c r="B122" s="102">
        <v>22460.3</v>
      </c>
    </row>
    <row r="123" spans="1:2" x14ac:dyDescent="0.3">
      <c r="A123" s="101">
        <v>45723</v>
      </c>
      <c r="B123" s="102">
        <v>22552.5</v>
      </c>
    </row>
    <row r="124" spans="1:2" x14ac:dyDescent="0.3">
      <c r="A124" s="101">
        <v>45722</v>
      </c>
      <c r="B124" s="102">
        <v>22544.7</v>
      </c>
    </row>
    <row r="125" spans="1:2" x14ac:dyDescent="0.3">
      <c r="A125" s="101">
        <v>45721</v>
      </c>
      <c r="B125" s="102">
        <v>22337.3</v>
      </c>
    </row>
    <row r="126" spans="1:2" x14ac:dyDescent="0.3">
      <c r="A126" s="101">
        <v>45720</v>
      </c>
      <c r="B126" s="102">
        <v>22082.65</v>
      </c>
    </row>
    <row r="127" spans="1:2" x14ac:dyDescent="0.3">
      <c r="A127" s="101">
        <v>45719</v>
      </c>
      <c r="B127" s="102">
        <v>22119.3</v>
      </c>
    </row>
    <row r="128" spans="1:2" x14ac:dyDescent="0.3">
      <c r="A128" s="101">
        <v>45716</v>
      </c>
      <c r="B128" s="102">
        <v>22124.7</v>
      </c>
    </row>
    <row r="129" spans="1:2" x14ac:dyDescent="0.3">
      <c r="A129" s="101">
        <v>45715</v>
      </c>
      <c r="B129" s="102">
        <v>22545.05</v>
      </c>
    </row>
    <row r="130" spans="1:2" x14ac:dyDescent="0.3">
      <c r="A130" s="101">
        <v>45713</v>
      </c>
      <c r="B130" s="102">
        <v>22547.55</v>
      </c>
    </row>
    <row r="131" spans="1:2" x14ac:dyDescent="0.3">
      <c r="A131" s="101">
        <v>45712</v>
      </c>
      <c r="B131" s="102">
        <v>22553.35</v>
      </c>
    </row>
    <row r="132" spans="1:2" x14ac:dyDescent="0.3">
      <c r="A132" s="101">
        <v>45709</v>
      </c>
      <c r="B132" s="102">
        <v>22795.9</v>
      </c>
    </row>
    <row r="133" spans="1:2" x14ac:dyDescent="0.3">
      <c r="A133" s="101">
        <v>45708</v>
      </c>
      <c r="B133" s="102">
        <v>22913.15</v>
      </c>
    </row>
    <row r="134" spans="1:2" x14ac:dyDescent="0.3">
      <c r="A134" s="101">
        <v>45707</v>
      </c>
      <c r="B134" s="102">
        <v>22932.9</v>
      </c>
    </row>
    <row r="135" spans="1:2" x14ac:dyDescent="0.3">
      <c r="A135" s="101">
        <v>45706</v>
      </c>
      <c r="B135" s="102">
        <v>22945.3</v>
      </c>
    </row>
    <row r="136" spans="1:2" x14ac:dyDescent="0.3">
      <c r="A136" s="101">
        <v>45705</v>
      </c>
      <c r="B136" s="102">
        <v>22959.5</v>
      </c>
    </row>
    <row r="137" spans="1:2" x14ac:dyDescent="0.3">
      <c r="A137" s="101">
        <v>45702</v>
      </c>
      <c r="B137" s="102">
        <v>22929.25</v>
      </c>
    </row>
    <row r="138" spans="1:2" x14ac:dyDescent="0.3">
      <c r="A138" s="101">
        <v>45701</v>
      </c>
      <c r="B138" s="102">
        <v>23031.4</v>
      </c>
    </row>
    <row r="139" spans="1:2" x14ac:dyDescent="0.3">
      <c r="A139" s="101">
        <v>45700</v>
      </c>
      <c r="B139" s="102">
        <v>23045.25</v>
      </c>
    </row>
    <row r="140" spans="1:2" x14ac:dyDescent="0.3">
      <c r="A140" s="101">
        <v>45699</v>
      </c>
      <c r="B140" s="102">
        <v>23071.8</v>
      </c>
    </row>
    <row r="141" spans="1:2" x14ac:dyDescent="0.3">
      <c r="A141" s="101">
        <v>45698</v>
      </c>
      <c r="B141" s="102">
        <v>23381.599999999999</v>
      </c>
    </row>
    <row r="142" spans="1:2" x14ac:dyDescent="0.3">
      <c r="A142" s="101">
        <v>45695</v>
      </c>
      <c r="B142" s="102">
        <v>23559.95</v>
      </c>
    </row>
    <row r="143" spans="1:2" x14ac:dyDescent="0.3">
      <c r="A143" s="101">
        <v>45694</v>
      </c>
      <c r="B143" s="102">
        <v>23603.35</v>
      </c>
    </row>
    <row r="144" spans="1:2" x14ac:dyDescent="0.3">
      <c r="A144" s="101">
        <v>45693</v>
      </c>
      <c r="B144" s="102">
        <v>23696.3</v>
      </c>
    </row>
    <row r="145" spans="1:2" x14ac:dyDescent="0.3">
      <c r="A145" s="101">
        <v>45692</v>
      </c>
      <c r="B145" s="102">
        <v>23739.25</v>
      </c>
    </row>
    <row r="146" spans="1:2" x14ac:dyDescent="0.3">
      <c r="A146" s="101">
        <v>45691</v>
      </c>
      <c r="B146" s="102">
        <v>23361.05</v>
      </c>
    </row>
    <row r="147" spans="1:2" x14ac:dyDescent="0.3">
      <c r="A147" s="101">
        <v>45689</v>
      </c>
      <c r="B147" s="102">
        <v>23482.15</v>
      </c>
    </row>
    <row r="148" spans="1:2" x14ac:dyDescent="0.3">
      <c r="A148" s="101">
        <v>45688</v>
      </c>
      <c r="B148" s="102">
        <v>23508.400000000001</v>
      </c>
    </row>
    <row r="149" spans="1:2" x14ac:dyDescent="0.3">
      <c r="A149" s="101">
        <v>45687</v>
      </c>
      <c r="B149" s="102">
        <v>23249.5</v>
      </c>
    </row>
    <row r="150" spans="1:2" x14ac:dyDescent="0.3">
      <c r="A150" s="101">
        <v>45686</v>
      </c>
      <c r="B150" s="102">
        <v>23163.1</v>
      </c>
    </row>
    <row r="151" spans="1:2" x14ac:dyDescent="0.3">
      <c r="A151" s="101">
        <v>45685</v>
      </c>
      <c r="B151" s="102">
        <v>22957.25</v>
      </c>
    </row>
    <row r="152" spans="1:2" x14ac:dyDescent="0.3">
      <c r="A152" s="101">
        <v>45684</v>
      </c>
      <c r="B152" s="102">
        <v>22829.15</v>
      </c>
    </row>
    <row r="153" spans="1:2" x14ac:dyDescent="0.3">
      <c r="A153" s="101">
        <v>45681</v>
      </c>
      <c r="B153" s="102">
        <v>23092.2</v>
      </c>
    </row>
    <row r="154" spans="1:2" x14ac:dyDescent="0.3">
      <c r="A154" s="101">
        <v>45680</v>
      </c>
      <c r="B154" s="102">
        <v>23205.35</v>
      </c>
    </row>
    <row r="155" spans="1:2" x14ac:dyDescent="0.3">
      <c r="A155" s="101">
        <v>45679</v>
      </c>
      <c r="B155" s="102">
        <v>23155.35</v>
      </c>
    </row>
    <row r="156" spans="1:2" x14ac:dyDescent="0.3">
      <c r="A156" s="101">
        <v>45678</v>
      </c>
      <c r="B156" s="102">
        <v>23024.65</v>
      </c>
    </row>
    <row r="157" spans="1:2" x14ac:dyDescent="0.3">
      <c r="A157" s="101">
        <v>45677</v>
      </c>
      <c r="B157" s="102">
        <v>23344.75</v>
      </c>
    </row>
    <row r="158" spans="1:2" x14ac:dyDescent="0.3">
      <c r="A158" s="101">
        <v>45674</v>
      </c>
      <c r="B158" s="102">
        <v>23203.200000000001</v>
      </c>
    </row>
    <row r="159" spans="1:2" x14ac:dyDescent="0.3">
      <c r="A159" s="101">
        <v>45673</v>
      </c>
      <c r="B159" s="102">
        <v>23311.8</v>
      </c>
    </row>
    <row r="160" spans="1:2" x14ac:dyDescent="0.3">
      <c r="A160" s="101">
        <v>45672</v>
      </c>
      <c r="B160" s="102">
        <v>23213.200000000001</v>
      </c>
    </row>
    <row r="161" spans="1:2" x14ac:dyDescent="0.3">
      <c r="A161" s="101">
        <v>45671</v>
      </c>
      <c r="B161" s="102">
        <v>23176.05</v>
      </c>
    </row>
    <row r="162" spans="1:2" x14ac:dyDescent="0.3">
      <c r="A162" s="101">
        <v>45670</v>
      </c>
      <c r="B162" s="102">
        <v>23085.95</v>
      </c>
    </row>
    <row r="163" spans="1:2" x14ac:dyDescent="0.3">
      <c r="A163" s="101">
        <v>45667</v>
      </c>
      <c r="B163" s="102">
        <v>23431.5</v>
      </c>
    </row>
    <row r="164" spans="1:2" x14ac:dyDescent="0.3">
      <c r="A164" s="101">
        <v>45666</v>
      </c>
      <c r="B164" s="102">
        <v>23526.5</v>
      </c>
    </row>
    <row r="165" spans="1:2" x14ac:dyDescent="0.3">
      <c r="A165" s="101">
        <v>45665</v>
      </c>
      <c r="B165" s="102">
        <v>23688.95</v>
      </c>
    </row>
    <row r="166" spans="1:2" x14ac:dyDescent="0.3">
      <c r="A166" s="101">
        <v>45664</v>
      </c>
      <c r="B166" s="102">
        <v>23707.9</v>
      </c>
    </row>
    <row r="167" spans="1:2" x14ac:dyDescent="0.3">
      <c r="A167" s="101">
        <v>45663</v>
      </c>
      <c r="B167" s="102">
        <v>23616.05</v>
      </c>
    </row>
    <row r="168" spans="1:2" x14ac:dyDescent="0.3">
      <c r="A168" s="101">
        <v>45660</v>
      </c>
      <c r="B168" s="102">
        <v>24004.75</v>
      </c>
    </row>
    <row r="169" spans="1:2" x14ac:dyDescent="0.3">
      <c r="A169" s="101">
        <v>45659</v>
      </c>
      <c r="B169" s="102">
        <v>24188.65</v>
      </c>
    </row>
    <row r="170" spans="1:2" x14ac:dyDescent="0.3">
      <c r="A170" s="101">
        <v>45658</v>
      </c>
      <c r="B170" s="102">
        <v>23742.9</v>
      </c>
    </row>
    <row r="171" spans="1:2" x14ac:dyDescent="0.3">
      <c r="A171" s="101">
        <v>45657</v>
      </c>
      <c r="B171" s="102">
        <v>23644.799999999999</v>
      </c>
    </row>
    <row r="172" spans="1:2" x14ac:dyDescent="0.3">
      <c r="A172" s="101">
        <v>45656</v>
      </c>
      <c r="B172" s="102">
        <v>23644.9</v>
      </c>
    </row>
    <row r="173" spans="1:2" x14ac:dyDescent="0.3">
      <c r="A173" s="101">
        <v>45653</v>
      </c>
      <c r="B173" s="102">
        <v>23813.4</v>
      </c>
    </row>
    <row r="174" spans="1:2" x14ac:dyDescent="0.3">
      <c r="A174" s="101">
        <v>45652</v>
      </c>
      <c r="B174" s="102">
        <v>23750.2</v>
      </c>
    </row>
    <row r="175" spans="1:2" x14ac:dyDescent="0.3">
      <c r="A175" s="101">
        <v>45650</v>
      </c>
      <c r="B175" s="102">
        <v>23727.65</v>
      </c>
    </row>
    <row r="176" spans="1:2" x14ac:dyDescent="0.3">
      <c r="A176" s="101">
        <v>45649</v>
      </c>
      <c r="B176" s="102">
        <v>23753.45</v>
      </c>
    </row>
    <row r="177" spans="1:2" x14ac:dyDescent="0.3">
      <c r="A177" s="101">
        <v>45646</v>
      </c>
      <c r="B177" s="102">
        <v>23587.5</v>
      </c>
    </row>
    <row r="178" spans="1:2" x14ac:dyDescent="0.3">
      <c r="A178" s="101">
        <v>45645</v>
      </c>
      <c r="B178" s="102">
        <v>23951.7</v>
      </c>
    </row>
    <row r="179" spans="1:2" x14ac:dyDescent="0.3">
      <c r="A179" s="101">
        <v>45644</v>
      </c>
      <c r="B179" s="102">
        <v>24198.85</v>
      </c>
    </row>
    <row r="180" spans="1:2" x14ac:dyDescent="0.3">
      <c r="A180" s="101">
        <v>45643</v>
      </c>
      <c r="B180" s="102">
        <v>24336</v>
      </c>
    </row>
    <row r="181" spans="1:2" x14ac:dyDescent="0.3">
      <c r="A181" s="101">
        <v>45642</v>
      </c>
      <c r="B181" s="102">
        <v>24668.25</v>
      </c>
    </row>
    <row r="182" spans="1:2" x14ac:dyDescent="0.3">
      <c r="A182" s="101">
        <v>45639</v>
      </c>
      <c r="B182" s="102">
        <v>24768.3</v>
      </c>
    </row>
    <row r="183" spans="1:2" x14ac:dyDescent="0.3">
      <c r="A183" s="101">
        <v>45638</v>
      </c>
      <c r="B183" s="102">
        <v>24548.7</v>
      </c>
    </row>
    <row r="184" spans="1:2" x14ac:dyDescent="0.3">
      <c r="A184" s="101">
        <v>45637</v>
      </c>
      <c r="B184" s="102">
        <v>24641.8</v>
      </c>
    </row>
    <row r="185" spans="1:2" x14ac:dyDescent="0.3">
      <c r="A185" s="101">
        <v>45636</v>
      </c>
      <c r="B185" s="102">
        <v>24610.05</v>
      </c>
    </row>
    <row r="186" spans="1:2" x14ac:dyDescent="0.3">
      <c r="A186" s="101">
        <v>45635</v>
      </c>
      <c r="B186" s="102">
        <v>24619</v>
      </c>
    </row>
    <row r="187" spans="1:2" x14ac:dyDescent="0.3">
      <c r="A187" s="101">
        <v>45632</v>
      </c>
      <c r="B187" s="102">
        <v>24677.8</v>
      </c>
    </row>
    <row r="188" spans="1:2" x14ac:dyDescent="0.3">
      <c r="A188" s="101">
        <v>45631</v>
      </c>
      <c r="B188" s="102">
        <v>24708.400000000001</v>
      </c>
    </row>
    <row r="189" spans="1:2" x14ac:dyDescent="0.3">
      <c r="A189" s="101">
        <v>45630</v>
      </c>
      <c r="B189" s="102">
        <v>24467.45</v>
      </c>
    </row>
    <row r="190" spans="1:2" x14ac:dyDescent="0.3">
      <c r="A190" s="101">
        <v>45629</v>
      </c>
      <c r="B190" s="102">
        <v>24457.15</v>
      </c>
    </row>
    <row r="191" spans="1:2" x14ac:dyDescent="0.3">
      <c r="A191" s="101">
        <v>45628</v>
      </c>
      <c r="B191" s="102">
        <v>24276.05</v>
      </c>
    </row>
    <row r="192" spans="1:2" x14ac:dyDescent="0.3">
      <c r="A192" s="101">
        <v>45625</v>
      </c>
      <c r="B192" s="102">
        <v>24131.1</v>
      </c>
    </row>
    <row r="193" spans="1:2" x14ac:dyDescent="0.3">
      <c r="A193" s="101">
        <v>45624</v>
      </c>
      <c r="B193" s="102">
        <v>23914.15</v>
      </c>
    </row>
    <row r="194" spans="1:2" x14ac:dyDescent="0.3">
      <c r="A194" s="101">
        <v>45623</v>
      </c>
      <c r="B194" s="102">
        <v>24274.9</v>
      </c>
    </row>
    <row r="195" spans="1:2" x14ac:dyDescent="0.3">
      <c r="A195" s="101">
        <v>45622</v>
      </c>
      <c r="B195" s="102">
        <v>24194.5</v>
      </c>
    </row>
    <row r="196" spans="1:2" x14ac:dyDescent="0.3">
      <c r="A196" s="101">
        <v>45621</v>
      </c>
      <c r="B196" s="102">
        <v>24221.9</v>
      </c>
    </row>
    <row r="197" spans="1:2" x14ac:dyDescent="0.3">
      <c r="A197" s="101">
        <v>45618</v>
      </c>
      <c r="B197" s="102">
        <v>23907.25</v>
      </c>
    </row>
    <row r="198" spans="1:2" x14ac:dyDescent="0.3">
      <c r="A198" s="101">
        <v>45617</v>
      </c>
      <c r="B198" s="102">
        <v>23349.9</v>
      </c>
    </row>
    <row r="199" spans="1:2" x14ac:dyDescent="0.3">
      <c r="A199" s="101">
        <v>45615</v>
      </c>
      <c r="B199" s="102">
        <v>23518.5</v>
      </c>
    </row>
    <row r="200" spans="1:2" x14ac:dyDescent="0.3">
      <c r="A200" s="101">
        <v>45614</v>
      </c>
      <c r="B200" s="102">
        <v>23453.8</v>
      </c>
    </row>
    <row r="201" spans="1:2" x14ac:dyDescent="0.3">
      <c r="A201" s="101">
        <v>45610</v>
      </c>
      <c r="B201" s="102">
        <v>23532.7</v>
      </c>
    </row>
    <row r="202" spans="1:2" x14ac:dyDescent="0.3">
      <c r="A202" s="101">
        <v>45609</v>
      </c>
      <c r="B202" s="102">
        <v>23559.05</v>
      </c>
    </row>
    <row r="203" spans="1:2" x14ac:dyDescent="0.3">
      <c r="A203" s="101">
        <v>45608</v>
      </c>
      <c r="B203" s="102">
        <v>23883.45</v>
      </c>
    </row>
    <row r="204" spans="1:2" x14ac:dyDescent="0.3">
      <c r="A204" s="101">
        <v>45607</v>
      </c>
      <c r="B204" s="102">
        <v>24141.3</v>
      </c>
    </row>
    <row r="205" spans="1:2" x14ac:dyDescent="0.3">
      <c r="A205" s="101">
        <v>45604</v>
      </c>
      <c r="B205" s="102">
        <v>24148.2</v>
      </c>
    </row>
    <row r="206" spans="1:2" x14ac:dyDescent="0.3">
      <c r="A206" s="101">
        <v>45603</v>
      </c>
      <c r="B206" s="102">
        <v>24199.35</v>
      </c>
    </row>
    <row r="207" spans="1:2" x14ac:dyDescent="0.3">
      <c r="A207" s="101">
        <v>45602</v>
      </c>
      <c r="B207" s="102">
        <v>24484.05</v>
      </c>
    </row>
    <row r="208" spans="1:2" x14ac:dyDescent="0.3">
      <c r="A208" s="101">
        <v>45601</v>
      </c>
      <c r="B208" s="102">
        <v>24213.3</v>
      </c>
    </row>
    <row r="209" spans="1:2" x14ac:dyDescent="0.3">
      <c r="A209" s="101">
        <v>45600</v>
      </c>
      <c r="B209" s="102">
        <v>23995.35</v>
      </c>
    </row>
    <row r="210" spans="1:2" x14ac:dyDescent="0.3">
      <c r="A210" s="101">
        <v>45597</v>
      </c>
      <c r="B210" s="102">
        <v>24304.35</v>
      </c>
    </row>
    <row r="211" spans="1:2" x14ac:dyDescent="0.3">
      <c r="A211" s="101">
        <v>45596</v>
      </c>
      <c r="B211" s="102">
        <v>24205.35</v>
      </c>
    </row>
    <row r="212" spans="1:2" x14ac:dyDescent="0.3">
      <c r="A212" s="101">
        <v>45595</v>
      </c>
      <c r="B212" s="102">
        <v>24340.85</v>
      </c>
    </row>
    <row r="213" spans="1:2" x14ac:dyDescent="0.3">
      <c r="A213" s="101">
        <v>45594</v>
      </c>
      <c r="B213" s="102">
        <v>24466.85</v>
      </c>
    </row>
    <row r="214" spans="1:2" x14ac:dyDescent="0.3">
      <c r="A214" s="101">
        <v>45593</v>
      </c>
      <c r="B214" s="102">
        <v>24339.15</v>
      </c>
    </row>
    <row r="215" spans="1:2" x14ac:dyDescent="0.3">
      <c r="A215" s="101">
        <v>45590</v>
      </c>
      <c r="B215" s="102">
        <v>24180.799999999999</v>
      </c>
    </row>
    <row r="216" spans="1:2" x14ac:dyDescent="0.3">
      <c r="A216" s="101">
        <v>45589</v>
      </c>
      <c r="B216" s="102">
        <v>24399.4</v>
      </c>
    </row>
    <row r="217" spans="1:2" x14ac:dyDescent="0.3">
      <c r="A217" s="101">
        <v>45588</v>
      </c>
      <c r="B217" s="102">
        <v>24435.5</v>
      </c>
    </row>
    <row r="218" spans="1:2" x14ac:dyDescent="0.3">
      <c r="A218" s="101">
        <v>45587</v>
      </c>
      <c r="B218" s="102">
        <v>24472.1</v>
      </c>
    </row>
    <row r="219" spans="1:2" x14ac:dyDescent="0.3">
      <c r="A219" s="101">
        <v>45586</v>
      </c>
      <c r="B219" s="102">
        <v>24781.1</v>
      </c>
    </row>
    <row r="220" spans="1:2" x14ac:dyDescent="0.3">
      <c r="A220" s="101">
        <v>45583</v>
      </c>
      <c r="B220" s="102">
        <v>24854.05</v>
      </c>
    </row>
    <row r="221" spans="1:2" x14ac:dyDescent="0.3">
      <c r="A221" s="101">
        <v>45582</v>
      </c>
      <c r="B221" s="102">
        <v>24749.85</v>
      </c>
    </row>
    <row r="222" spans="1:2" x14ac:dyDescent="0.3">
      <c r="A222" s="101">
        <v>45581</v>
      </c>
      <c r="B222" s="102">
        <v>24971.3</v>
      </c>
    </row>
    <row r="223" spans="1:2" x14ac:dyDescent="0.3">
      <c r="A223" s="101">
        <v>45580</v>
      </c>
      <c r="B223" s="102">
        <v>25057.35</v>
      </c>
    </row>
    <row r="224" spans="1:2" x14ac:dyDescent="0.3">
      <c r="A224" s="101">
        <v>45579</v>
      </c>
      <c r="B224" s="102">
        <v>25127.95</v>
      </c>
    </row>
    <row r="225" spans="1:2" x14ac:dyDescent="0.3">
      <c r="A225" s="101">
        <v>45576</v>
      </c>
      <c r="B225" s="102">
        <v>24964.25</v>
      </c>
    </row>
    <row r="226" spans="1:2" x14ac:dyDescent="0.3">
      <c r="A226" s="101">
        <v>45575</v>
      </c>
      <c r="B226" s="102">
        <v>24998.45</v>
      </c>
    </row>
    <row r="227" spans="1:2" x14ac:dyDescent="0.3">
      <c r="A227" s="101">
        <v>45574</v>
      </c>
      <c r="B227" s="102">
        <v>24981.95</v>
      </c>
    </row>
    <row r="228" spans="1:2" x14ac:dyDescent="0.3">
      <c r="A228" s="101">
        <v>45573</v>
      </c>
      <c r="B228" s="102">
        <v>25013.15</v>
      </c>
    </row>
    <row r="229" spans="1:2" x14ac:dyDescent="0.3">
      <c r="A229" s="101">
        <v>45572</v>
      </c>
      <c r="B229" s="102">
        <v>24795.75</v>
      </c>
    </row>
    <row r="230" spans="1:2" x14ac:dyDescent="0.3">
      <c r="A230" s="101">
        <v>45569</v>
      </c>
      <c r="B230" s="102">
        <v>25014.6</v>
      </c>
    </row>
    <row r="231" spans="1:2" x14ac:dyDescent="0.3">
      <c r="A231" s="101">
        <v>45568</v>
      </c>
      <c r="B231" s="102">
        <v>25250.1</v>
      </c>
    </row>
    <row r="232" spans="1:2" x14ac:dyDescent="0.3">
      <c r="A232" s="101">
        <v>45566</v>
      </c>
      <c r="B232" s="102">
        <v>25796.9</v>
      </c>
    </row>
    <row r="233" spans="1:2" x14ac:dyDescent="0.3">
      <c r="A233" s="101">
        <v>45565</v>
      </c>
      <c r="B233" s="102">
        <v>25810.85</v>
      </c>
    </row>
    <row r="234" spans="1:2" x14ac:dyDescent="0.3">
      <c r="A234" s="101">
        <v>45562</v>
      </c>
      <c r="B234" s="102">
        <v>26178.95</v>
      </c>
    </row>
    <row r="235" spans="1:2" x14ac:dyDescent="0.3">
      <c r="A235" s="101">
        <v>45561</v>
      </c>
      <c r="B235" s="102">
        <v>26216.05</v>
      </c>
    </row>
    <row r="236" spans="1:2" x14ac:dyDescent="0.3">
      <c r="A236" s="101">
        <v>45560</v>
      </c>
      <c r="B236" s="102">
        <v>26004.15</v>
      </c>
    </row>
    <row r="237" spans="1:2" x14ac:dyDescent="0.3">
      <c r="A237" s="101">
        <v>45559</v>
      </c>
      <c r="B237" s="102">
        <v>25940.400000000001</v>
      </c>
    </row>
    <row r="238" spans="1:2" x14ac:dyDescent="0.3">
      <c r="A238" s="101">
        <v>45558</v>
      </c>
      <c r="B238" s="102">
        <v>25939.05</v>
      </c>
    </row>
    <row r="239" spans="1:2" x14ac:dyDescent="0.3">
      <c r="A239" s="101">
        <v>45555</v>
      </c>
      <c r="B239" s="102">
        <v>25790.95</v>
      </c>
    </row>
    <row r="240" spans="1:2" x14ac:dyDescent="0.3">
      <c r="A240" s="101">
        <v>45554</v>
      </c>
      <c r="B240" s="102">
        <v>25415.8</v>
      </c>
    </row>
    <row r="241" spans="1:2" x14ac:dyDescent="0.3">
      <c r="A241" s="101">
        <v>45553</v>
      </c>
      <c r="B241" s="102">
        <v>25377.55</v>
      </c>
    </row>
    <row r="242" spans="1:2" x14ac:dyDescent="0.3">
      <c r="A242" s="101">
        <v>45552</v>
      </c>
      <c r="B242" s="102">
        <v>25418.55</v>
      </c>
    </row>
    <row r="243" spans="1:2" x14ac:dyDescent="0.3">
      <c r="A243" s="101">
        <v>45551</v>
      </c>
      <c r="B243" s="102">
        <v>25383.75</v>
      </c>
    </row>
    <row r="244" spans="1:2" x14ac:dyDescent="0.3">
      <c r="A244" s="101">
        <v>45548</v>
      </c>
      <c r="B244" s="102">
        <v>25356.5</v>
      </c>
    </row>
    <row r="245" spans="1:2" x14ac:dyDescent="0.3">
      <c r="A245" s="101">
        <v>45547</v>
      </c>
      <c r="B245" s="102">
        <v>25388.9</v>
      </c>
    </row>
    <row r="246" spans="1:2" x14ac:dyDescent="0.3">
      <c r="A246" s="101">
        <v>45546</v>
      </c>
      <c r="B246" s="102">
        <v>24918.45</v>
      </c>
    </row>
    <row r="247" spans="1:2" x14ac:dyDescent="0.3">
      <c r="A247" s="101">
        <v>45545</v>
      </c>
      <c r="B247" s="102">
        <v>25041.1</v>
      </c>
    </row>
    <row r="248" spans="1:2" x14ac:dyDescent="0.3">
      <c r="A248" s="101">
        <v>45544</v>
      </c>
      <c r="B248" s="102">
        <v>24936.400000000001</v>
      </c>
    </row>
    <row r="249" spans="1:2" x14ac:dyDescent="0.3">
      <c r="A249" s="101">
        <v>45541</v>
      </c>
      <c r="B249" s="102">
        <v>24852.15</v>
      </c>
    </row>
    <row r="250" spans="1:2" x14ac:dyDescent="0.3">
      <c r="A250" s="101">
        <v>45540</v>
      </c>
      <c r="B250" s="102">
        <v>25145.1</v>
      </c>
    </row>
    <row r="251" spans="1:2" x14ac:dyDescent="0.3">
      <c r="A251" s="101">
        <v>45539</v>
      </c>
      <c r="B251" s="102">
        <v>25198.7</v>
      </c>
    </row>
    <row r="252" spans="1:2" x14ac:dyDescent="0.3">
      <c r="A252" s="101">
        <v>45538</v>
      </c>
      <c r="B252" s="102">
        <v>25279.85</v>
      </c>
    </row>
    <row r="253" spans="1:2" x14ac:dyDescent="0.3">
      <c r="A253" s="101">
        <v>45537</v>
      </c>
      <c r="B253" s="102">
        <v>25278.7</v>
      </c>
    </row>
    <row r="254" spans="1:2" x14ac:dyDescent="0.3">
      <c r="A254" s="101">
        <v>45534</v>
      </c>
      <c r="B254" s="102">
        <v>25235.9</v>
      </c>
    </row>
    <row r="255" spans="1:2" x14ac:dyDescent="0.3">
      <c r="A255" s="101">
        <v>45533</v>
      </c>
      <c r="B255" s="102">
        <v>25151.95</v>
      </c>
    </row>
    <row r="256" spans="1:2" x14ac:dyDescent="0.3">
      <c r="A256" s="101">
        <v>45532</v>
      </c>
      <c r="B256" s="102">
        <v>25052.35</v>
      </c>
    </row>
    <row r="257" spans="1:2" x14ac:dyDescent="0.3">
      <c r="A257" s="101">
        <v>45531</v>
      </c>
      <c r="B257" s="102">
        <v>25017.75</v>
      </c>
    </row>
    <row r="258" spans="1:2" x14ac:dyDescent="0.3">
      <c r="A258" s="101">
        <v>45530</v>
      </c>
      <c r="B258" s="102">
        <v>25010.6</v>
      </c>
    </row>
    <row r="259" spans="1:2" x14ac:dyDescent="0.3">
      <c r="A259" s="101">
        <v>45527</v>
      </c>
      <c r="B259" s="102">
        <v>24823.15</v>
      </c>
    </row>
    <row r="260" spans="1:2" x14ac:dyDescent="0.3">
      <c r="A260" s="101">
        <v>45526</v>
      </c>
      <c r="B260" s="102">
        <v>24811.5</v>
      </c>
    </row>
    <row r="261" spans="1:2" x14ac:dyDescent="0.3">
      <c r="A261" s="101">
        <v>45525</v>
      </c>
      <c r="B261" s="102">
        <v>24770.2</v>
      </c>
    </row>
    <row r="262" spans="1:2" x14ac:dyDescent="0.3">
      <c r="A262" s="101">
        <v>45524</v>
      </c>
      <c r="B262" s="102">
        <v>24698.85</v>
      </c>
    </row>
    <row r="263" spans="1:2" x14ac:dyDescent="0.3">
      <c r="A263" s="101">
        <v>45523</v>
      </c>
      <c r="B263" s="102">
        <v>24572.65</v>
      </c>
    </row>
    <row r="264" spans="1:2" x14ac:dyDescent="0.3">
      <c r="A264" s="101">
        <v>45520</v>
      </c>
      <c r="B264" s="102">
        <v>24541.15</v>
      </c>
    </row>
    <row r="265" spans="1:2" x14ac:dyDescent="0.3">
      <c r="A265" s="101">
        <v>45518</v>
      </c>
      <c r="B265" s="102">
        <v>24143.75</v>
      </c>
    </row>
    <row r="266" spans="1:2" x14ac:dyDescent="0.3">
      <c r="A266" s="101">
        <v>45517</v>
      </c>
      <c r="B266" s="102">
        <v>24139</v>
      </c>
    </row>
    <row r="267" spans="1:2" x14ac:dyDescent="0.3">
      <c r="A267" s="101">
        <v>45516</v>
      </c>
      <c r="B267" s="102">
        <v>24347</v>
      </c>
    </row>
    <row r="268" spans="1:2" x14ac:dyDescent="0.3">
      <c r="A268" s="101">
        <v>45513</v>
      </c>
      <c r="B268" s="102">
        <v>24367.5</v>
      </c>
    </row>
    <row r="269" spans="1:2" x14ac:dyDescent="0.3">
      <c r="A269" s="101">
        <v>45512</v>
      </c>
      <c r="B269" s="102">
        <v>24117</v>
      </c>
    </row>
    <row r="270" spans="1:2" x14ac:dyDescent="0.3">
      <c r="A270" s="101">
        <v>45511</v>
      </c>
      <c r="B270" s="102">
        <v>24297.5</v>
      </c>
    </row>
    <row r="271" spans="1:2" x14ac:dyDescent="0.3">
      <c r="A271" s="101">
        <v>45510</v>
      </c>
      <c r="B271" s="102">
        <v>23992.55</v>
      </c>
    </row>
    <row r="272" spans="1:2" x14ac:dyDescent="0.3">
      <c r="A272" s="101">
        <v>45509</v>
      </c>
      <c r="B272" s="102">
        <v>24055.599999999999</v>
      </c>
    </row>
    <row r="273" spans="1:2" x14ac:dyDescent="0.3">
      <c r="A273" s="101">
        <v>45506</v>
      </c>
      <c r="B273" s="102">
        <v>24717.7</v>
      </c>
    </row>
    <row r="274" spans="1:2" x14ac:dyDescent="0.3">
      <c r="A274" s="101">
        <v>45505</v>
      </c>
      <c r="B274" s="102">
        <v>25010.9</v>
      </c>
    </row>
    <row r="275" spans="1:2" x14ac:dyDescent="0.3">
      <c r="A275" s="101">
        <v>45504</v>
      </c>
      <c r="B275" s="102">
        <v>24951.15</v>
      </c>
    </row>
    <row r="276" spans="1:2" x14ac:dyDescent="0.3">
      <c r="A276" s="101">
        <v>45503</v>
      </c>
      <c r="B276" s="102">
        <v>24857.3</v>
      </c>
    </row>
    <row r="277" spans="1:2" x14ac:dyDescent="0.3">
      <c r="A277" s="101">
        <v>45502</v>
      </c>
      <c r="B277" s="102">
        <v>24836.1</v>
      </c>
    </row>
    <row r="278" spans="1:2" x14ac:dyDescent="0.3">
      <c r="A278" s="101">
        <v>45499</v>
      </c>
      <c r="B278" s="102">
        <v>24834.85</v>
      </c>
    </row>
    <row r="279" spans="1:2" x14ac:dyDescent="0.3">
      <c r="A279" s="101">
        <v>45498</v>
      </c>
      <c r="B279" s="102">
        <v>24406.1</v>
      </c>
    </row>
    <row r="280" spans="1:2" x14ac:dyDescent="0.3">
      <c r="A280" s="101">
        <v>45497</v>
      </c>
      <c r="B280" s="102">
        <v>24413.5</v>
      </c>
    </row>
    <row r="281" spans="1:2" x14ac:dyDescent="0.3">
      <c r="A281" s="101">
        <v>45496</v>
      </c>
      <c r="B281" s="102">
        <v>24479.05</v>
      </c>
    </row>
    <row r="282" spans="1:2" x14ac:dyDescent="0.3">
      <c r="A282" s="101">
        <v>45495</v>
      </c>
      <c r="B282" s="102">
        <v>24509.25</v>
      </c>
    </row>
    <row r="283" spans="1:2" x14ac:dyDescent="0.3">
      <c r="A283" s="101">
        <v>45492</v>
      </c>
      <c r="B283" s="102">
        <v>24530.9</v>
      </c>
    </row>
    <row r="284" spans="1:2" x14ac:dyDescent="0.3">
      <c r="A284" s="101">
        <v>45491</v>
      </c>
      <c r="B284" s="102">
        <v>24800.85</v>
      </c>
    </row>
    <row r="285" spans="1:2" x14ac:dyDescent="0.3">
      <c r="A285" s="101">
        <v>45489</v>
      </c>
      <c r="B285" s="102">
        <v>24613</v>
      </c>
    </row>
    <row r="286" spans="1:2" x14ac:dyDescent="0.3">
      <c r="A286" s="101">
        <v>45488</v>
      </c>
      <c r="B286" s="102">
        <v>24586.7</v>
      </c>
    </row>
    <row r="287" spans="1:2" x14ac:dyDescent="0.3">
      <c r="A287" s="101">
        <v>45485</v>
      </c>
      <c r="B287" s="102">
        <v>24502.15</v>
      </c>
    </row>
    <row r="288" spans="1:2" x14ac:dyDescent="0.3">
      <c r="A288" s="101">
        <v>45484</v>
      </c>
      <c r="B288" s="102">
        <v>24315.95</v>
      </c>
    </row>
    <row r="289" spans="1:2" x14ac:dyDescent="0.3">
      <c r="A289" s="101">
        <v>45483</v>
      </c>
      <c r="B289" s="102">
        <v>24324.45</v>
      </c>
    </row>
    <row r="290" spans="1:2" x14ac:dyDescent="0.3">
      <c r="A290" s="101">
        <v>45482</v>
      </c>
      <c r="B290" s="102">
        <v>24433.200000000001</v>
      </c>
    </row>
    <row r="291" spans="1:2" x14ac:dyDescent="0.3">
      <c r="A291" s="101">
        <v>45481</v>
      </c>
      <c r="B291" s="102">
        <v>24320.55</v>
      </c>
    </row>
    <row r="292" spans="1:2" x14ac:dyDescent="0.3">
      <c r="A292" s="101">
        <v>45478</v>
      </c>
      <c r="B292" s="102">
        <v>24323.85</v>
      </c>
    </row>
    <row r="293" spans="1:2" x14ac:dyDescent="0.3">
      <c r="A293" s="101">
        <v>45477</v>
      </c>
      <c r="B293" s="102">
        <v>24302.15</v>
      </c>
    </row>
    <row r="294" spans="1:2" x14ac:dyDescent="0.3">
      <c r="A294" s="101">
        <v>45476</v>
      </c>
      <c r="B294" s="102">
        <v>24286.5</v>
      </c>
    </row>
    <row r="295" spans="1:2" x14ac:dyDescent="0.3">
      <c r="A295" s="101">
        <v>45475</v>
      </c>
      <c r="B295" s="102">
        <v>24123.85</v>
      </c>
    </row>
    <row r="296" spans="1:2" x14ac:dyDescent="0.3">
      <c r="A296" s="101">
        <v>45474</v>
      </c>
      <c r="B296" s="102">
        <v>24141.95</v>
      </c>
    </row>
    <row r="297" spans="1:2" x14ac:dyDescent="0.3">
      <c r="A297" s="101">
        <v>45471</v>
      </c>
      <c r="B297" s="102">
        <v>24010.6</v>
      </c>
    </row>
    <row r="298" spans="1:2" x14ac:dyDescent="0.3">
      <c r="A298" s="101">
        <v>45470</v>
      </c>
      <c r="B298" s="102">
        <v>24044.5</v>
      </c>
    </row>
    <row r="299" spans="1:2" x14ac:dyDescent="0.3">
      <c r="A299" s="101">
        <v>45469</v>
      </c>
      <c r="B299" s="102">
        <v>23868.799999999999</v>
      </c>
    </row>
    <row r="300" spans="1:2" x14ac:dyDescent="0.3">
      <c r="A300" s="101">
        <v>45468</v>
      </c>
      <c r="B300" s="102">
        <v>23721.3</v>
      </c>
    </row>
    <row r="301" spans="1:2" x14ac:dyDescent="0.3">
      <c r="A301" s="101">
        <v>45467</v>
      </c>
      <c r="B301" s="102">
        <v>23537.85</v>
      </c>
    </row>
    <row r="302" spans="1:2" x14ac:dyDescent="0.3">
      <c r="A302" s="101">
        <v>45464</v>
      </c>
      <c r="B302" s="102">
        <v>23501.1</v>
      </c>
    </row>
    <row r="303" spans="1:2" x14ac:dyDescent="0.3">
      <c r="A303" s="101">
        <v>45463</v>
      </c>
      <c r="B303" s="102">
        <v>23567</v>
      </c>
    </row>
    <row r="304" spans="1:2" x14ac:dyDescent="0.3">
      <c r="A304" s="101">
        <v>45462</v>
      </c>
      <c r="B304" s="102">
        <v>23516</v>
      </c>
    </row>
    <row r="305" spans="1:2" x14ac:dyDescent="0.3">
      <c r="A305" s="101">
        <v>45461</v>
      </c>
      <c r="B305" s="102">
        <v>23557.9</v>
      </c>
    </row>
    <row r="306" spans="1:2" x14ac:dyDescent="0.3">
      <c r="A306" s="101">
        <v>45457</v>
      </c>
      <c r="B306" s="102">
        <v>23465.599999999999</v>
      </c>
    </row>
    <row r="307" spans="1:2" x14ac:dyDescent="0.3">
      <c r="A307" s="101">
        <v>45456</v>
      </c>
      <c r="B307" s="102">
        <v>23398.9</v>
      </c>
    </row>
    <row r="308" spans="1:2" x14ac:dyDescent="0.3">
      <c r="A308" s="101">
        <v>45455</v>
      </c>
      <c r="B308" s="102">
        <v>23322.95</v>
      </c>
    </row>
    <row r="309" spans="1:2" x14ac:dyDescent="0.3">
      <c r="A309" s="101">
        <v>45454</v>
      </c>
      <c r="B309" s="102">
        <v>23264.85</v>
      </c>
    </row>
    <row r="310" spans="1:2" x14ac:dyDescent="0.3">
      <c r="A310" s="101">
        <v>45453</v>
      </c>
      <c r="B310" s="102">
        <v>23259.200000000001</v>
      </c>
    </row>
    <row r="311" spans="1:2" x14ac:dyDescent="0.3">
      <c r="A311" s="101">
        <v>45450</v>
      </c>
      <c r="B311" s="102">
        <v>23290.15</v>
      </c>
    </row>
    <row r="312" spans="1:2" x14ac:dyDescent="0.3">
      <c r="A312" s="101">
        <v>45449</v>
      </c>
      <c r="B312" s="102">
        <v>22821.4</v>
      </c>
    </row>
    <row r="313" spans="1:2" x14ac:dyDescent="0.3">
      <c r="A313" s="101">
        <v>45448</v>
      </c>
      <c r="B313" s="102">
        <v>22620.35</v>
      </c>
    </row>
    <row r="314" spans="1:2" x14ac:dyDescent="0.3">
      <c r="A314" s="101">
        <v>45447</v>
      </c>
      <c r="B314" s="102">
        <v>21884.5</v>
      </c>
    </row>
    <row r="315" spans="1:2" x14ac:dyDescent="0.3">
      <c r="A315" s="101">
        <v>45446</v>
      </c>
      <c r="B315" s="102">
        <v>23263.9</v>
      </c>
    </row>
    <row r="316" spans="1:2" x14ac:dyDescent="0.3">
      <c r="A316" s="101">
        <v>45443</v>
      </c>
      <c r="B316" s="102">
        <v>22530.7</v>
      </c>
    </row>
    <row r="317" spans="1:2" x14ac:dyDescent="0.3">
      <c r="A317" s="101">
        <v>45442</v>
      </c>
      <c r="B317" s="102">
        <v>22488.65</v>
      </c>
    </row>
    <row r="318" spans="1:2" x14ac:dyDescent="0.3">
      <c r="A318" s="101">
        <v>45441</v>
      </c>
      <c r="B318" s="102">
        <v>22704.7</v>
      </c>
    </row>
    <row r="319" spans="1:2" x14ac:dyDescent="0.3">
      <c r="A319" s="101">
        <v>45440</v>
      </c>
      <c r="B319" s="102">
        <v>22888.15</v>
      </c>
    </row>
    <row r="320" spans="1:2" x14ac:dyDescent="0.3">
      <c r="A320" s="101">
        <v>45439</v>
      </c>
      <c r="B320" s="102">
        <v>22932.45</v>
      </c>
    </row>
    <row r="321" spans="1:2" x14ac:dyDescent="0.3">
      <c r="A321" s="101">
        <v>45436</v>
      </c>
      <c r="B321" s="102">
        <v>22957.1</v>
      </c>
    </row>
    <row r="322" spans="1:2" x14ac:dyDescent="0.3">
      <c r="A322" s="101">
        <v>45435</v>
      </c>
      <c r="B322" s="102">
        <v>22967.65</v>
      </c>
    </row>
    <row r="323" spans="1:2" x14ac:dyDescent="0.3">
      <c r="A323" s="101">
        <v>45434</v>
      </c>
      <c r="B323" s="102">
        <v>22597.8</v>
      </c>
    </row>
    <row r="324" spans="1:2" x14ac:dyDescent="0.3">
      <c r="A324" s="101">
        <v>45433</v>
      </c>
      <c r="B324" s="102">
        <v>22529.05</v>
      </c>
    </row>
    <row r="325" spans="1:2" x14ac:dyDescent="0.3">
      <c r="A325" s="101">
        <v>45430</v>
      </c>
      <c r="B325" s="102">
        <v>22502</v>
      </c>
    </row>
    <row r="326" spans="1:2" x14ac:dyDescent="0.3">
      <c r="A326" s="101">
        <v>45429</v>
      </c>
      <c r="B326" s="102">
        <v>22466.1</v>
      </c>
    </row>
    <row r="327" spans="1:2" x14ac:dyDescent="0.3">
      <c r="A327" s="101">
        <v>45428</v>
      </c>
      <c r="B327" s="102">
        <v>22403.85</v>
      </c>
    </row>
    <row r="328" spans="1:2" x14ac:dyDescent="0.3">
      <c r="A328" s="101">
        <v>45427</v>
      </c>
      <c r="B328" s="102">
        <v>22200.55</v>
      </c>
    </row>
    <row r="329" spans="1:2" x14ac:dyDescent="0.3">
      <c r="A329" s="101">
        <v>45426</v>
      </c>
      <c r="B329" s="102">
        <v>22217.85</v>
      </c>
    </row>
    <row r="330" spans="1:2" x14ac:dyDescent="0.3">
      <c r="A330" s="101">
        <v>45425</v>
      </c>
      <c r="B330" s="102">
        <v>22104.05</v>
      </c>
    </row>
    <row r="331" spans="1:2" x14ac:dyDescent="0.3">
      <c r="A331" s="101">
        <v>45422</v>
      </c>
      <c r="B331" s="102">
        <v>22055.200000000001</v>
      </c>
    </row>
    <row r="332" spans="1:2" x14ac:dyDescent="0.3">
      <c r="A332" s="101">
        <v>45421</v>
      </c>
      <c r="B332" s="102">
        <v>21957.5</v>
      </c>
    </row>
    <row r="333" spans="1:2" x14ac:dyDescent="0.3">
      <c r="A333" s="101">
        <v>45420</v>
      </c>
      <c r="B333" s="102">
        <v>22302.5</v>
      </c>
    </row>
    <row r="334" spans="1:2" x14ac:dyDescent="0.3">
      <c r="A334" s="101">
        <v>45419</v>
      </c>
      <c r="B334" s="102">
        <v>22302.5</v>
      </c>
    </row>
    <row r="335" spans="1:2" x14ac:dyDescent="0.3">
      <c r="A335" s="101">
        <v>45418</v>
      </c>
      <c r="B335" s="102">
        <v>22442.7</v>
      </c>
    </row>
    <row r="336" spans="1:2" x14ac:dyDescent="0.3">
      <c r="A336" s="101">
        <v>45415</v>
      </c>
      <c r="B336" s="102">
        <v>22475.85</v>
      </c>
    </row>
    <row r="337" spans="1:2" x14ac:dyDescent="0.3">
      <c r="A337" s="101">
        <v>45414</v>
      </c>
      <c r="B337" s="102">
        <v>22648.2</v>
      </c>
    </row>
    <row r="338" spans="1:2" x14ac:dyDescent="0.3">
      <c r="A338" s="101">
        <v>45412</v>
      </c>
      <c r="B338" s="102">
        <v>22604.85</v>
      </c>
    </row>
    <row r="339" spans="1:2" x14ac:dyDescent="0.3">
      <c r="A339" s="101">
        <v>45411</v>
      </c>
      <c r="B339" s="102">
        <v>22643.4</v>
      </c>
    </row>
    <row r="340" spans="1:2" x14ac:dyDescent="0.3">
      <c r="A340" s="101">
        <v>45408</v>
      </c>
      <c r="B340" s="102">
        <v>22419.95</v>
      </c>
    </row>
    <row r="341" spans="1:2" x14ac:dyDescent="0.3">
      <c r="A341" s="101">
        <v>45407</v>
      </c>
      <c r="B341" s="102">
        <v>22570.35</v>
      </c>
    </row>
    <row r="342" spans="1:2" x14ac:dyDescent="0.3">
      <c r="A342" s="101">
        <v>45406</v>
      </c>
      <c r="B342" s="102">
        <v>22402.400000000001</v>
      </c>
    </row>
    <row r="343" spans="1:2" x14ac:dyDescent="0.3">
      <c r="A343" s="101">
        <v>45405</v>
      </c>
      <c r="B343" s="102">
        <v>22368</v>
      </c>
    </row>
    <row r="344" spans="1:2" x14ac:dyDescent="0.3">
      <c r="A344" s="101">
        <v>45404</v>
      </c>
      <c r="B344" s="102">
        <v>22336.400000000001</v>
      </c>
    </row>
    <row r="345" spans="1:2" x14ac:dyDescent="0.3">
      <c r="A345" s="101">
        <v>45401</v>
      </c>
      <c r="B345" s="102">
        <v>22147</v>
      </c>
    </row>
    <row r="346" spans="1:2" x14ac:dyDescent="0.3">
      <c r="A346" s="101">
        <v>45400</v>
      </c>
      <c r="B346" s="102">
        <v>21995.85</v>
      </c>
    </row>
    <row r="347" spans="1:2" x14ac:dyDescent="0.3">
      <c r="A347" s="101">
        <v>45398</v>
      </c>
      <c r="B347" s="102">
        <v>22147.9</v>
      </c>
    </row>
    <row r="348" spans="1:2" x14ac:dyDescent="0.3">
      <c r="A348" s="101">
        <v>45397</v>
      </c>
      <c r="B348" s="102">
        <v>22272.5</v>
      </c>
    </row>
    <row r="349" spans="1:2" x14ac:dyDescent="0.3">
      <c r="A349" s="101">
        <v>45394</v>
      </c>
      <c r="B349" s="102">
        <v>22519.4</v>
      </c>
    </row>
    <row r="350" spans="1:2" x14ac:dyDescent="0.3">
      <c r="A350" s="101">
        <v>45392</v>
      </c>
      <c r="B350" s="102">
        <v>22753.8</v>
      </c>
    </row>
    <row r="351" spans="1:2" x14ac:dyDescent="0.3">
      <c r="A351" s="101">
        <v>45391</v>
      </c>
      <c r="B351" s="102">
        <v>22642.75</v>
      </c>
    </row>
    <row r="352" spans="1:2" x14ac:dyDescent="0.3">
      <c r="A352" s="101">
        <v>45390</v>
      </c>
      <c r="B352" s="102">
        <v>22666.3</v>
      </c>
    </row>
    <row r="353" spans="1:2" x14ac:dyDescent="0.3">
      <c r="A353" s="101">
        <v>45387</v>
      </c>
      <c r="B353" s="102">
        <v>22513.7</v>
      </c>
    </row>
    <row r="354" spans="1:2" x14ac:dyDescent="0.3">
      <c r="A354" s="101">
        <v>45386</v>
      </c>
      <c r="B354" s="102">
        <v>22514.65</v>
      </c>
    </row>
    <row r="355" spans="1:2" x14ac:dyDescent="0.3">
      <c r="A355" s="101">
        <v>45385</v>
      </c>
      <c r="B355" s="102">
        <v>22434.65</v>
      </c>
    </row>
    <row r="356" spans="1:2" x14ac:dyDescent="0.3">
      <c r="A356" s="101">
        <v>45384</v>
      </c>
      <c r="B356" s="102">
        <v>22453.3</v>
      </c>
    </row>
    <row r="357" spans="1:2" x14ac:dyDescent="0.3">
      <c r="A357" s="101">
        <v>45383</v>
      </c>
      <c r="B357" s="102">
        <v>22462</v>
      </c>
    </row>
    <row r="358" spans="1:2" x14ac:dyDescent="0.3">
      <c r="A358" s="101">
        <v>45379</v>
      </c>
      <c r="B358" s="102">
        <v>22326.9</v>
      </c>
    </row>
    <row r="359" spans="1:2" x14ac:dyDescent="0.3">
      <c r="A359" s="101">
        <v>45378</v>
      </c>
      <c r="B359" s="102">
        <v>22123.65</v>
      </c>
    </row>
    <row r="360" spans="1:2" x14ac:dyDescent="0.3">
      <c r="A360" s="101">
        <v>45377</v>
      </c>
      <c r="B360" s="102">
        <v>22004.7</v>
      </c>
    </row>
    <row r="361" spans="1:2" x14ac:dyDescent="0.3">
      <c r="A361" s="101">
        <v>45373</v>
      </c>
      <c r="B361" s="102">
        <v>22096.75</v>
      </c>
    </row>
    <row r="362" spans="1:2" x14ac:dyDescent="0.3">
      <c r="A362" s="101">
        <v>45372</v>
      </c>
      <c r="B362" s="102">
        <v>22011.95</v>
      </c>
    </row>
    <row r="363" spans="1:2" x14ac:dyDescent="0.3">
      <c r="A363" s="101">
        <v>45371</v>
      </c>
      <c r="B363" s="102">
        <v>21839.1</v>
      </c>
    </row>
    <row r="364" spans="1:2" x14ac:dyDescent="0.3">
      <c r="A364" s="101">
        <v>45370</v>
      </c>
      <c r="B364" s="102">
        <v>21817.45</v>
      </c>
    </row>
    <row r="365" spans="1:2" x14ac:dyDescent="0.3">
      <c r="A365" s="101">
        <v>45369</v>
      </c>
      <c r="B365" s="102">
        <v>22055.7</v>
      </c>
    </row>
    <row r="366" spans="1:2" x14ac:dyDescent="0.3">
      <c r="A366" s="101">
        <v>45366</v>
      </c>
      <c r="B366" s="102">
        <v>22023.35</v>
      </c>
    </row>
    <row r="367" spans="1:2" x14ac:dyDescent="0.3">
      <c r="A367" s="101">
        <v>45365</v>
      </c>
      <c r="B367" s="102">
        <v>22146.65</v>
      </c>
    </row>
    <row r="368" spans="1:2" x14ac:dyDescent="0.3">
      <c r="A368" s="101">
        <v>45364</v>
      </c>
      <c r="B368" s="102">
        <v>21997.7</v>
      </c>
    </row>
    <row r="369" spans="1:2" x14ac:dyDescent="0.3">
      <c r="A369" s="101">
        <v>45363</v>
      </c>
      <c r="B369" s="102">
        <v>22335.7</v>
      </c>
    </row>
    <row r="370" spans="1:2" x14ac:dyDescent="0.3">
      <c r="A370" s="101">
        <v>45362</v>
      </c>
      <c r="B370" s="102">
        <v>22332.65</v>
      </c>
    </row>
    <row r="371" spans="1:2" x14ac:dyDescent="0.3">
      <c r="A371" s="101">
        <v>45358</v>
      </c>
      <c r="B371" s="102">
        <v>22493.55</v>
      </c>
    </row>
    <row r="372" spans="1:2" x14ac:dyDescent="0.3">
      <c r="A372" s="101">
        <v>45357</v>
      </c>
      <c r="B372" s="102">
        <v>22474.05</v>
      </c>
    </row>
    <row r="373" spans="1:2" x14ac:dyDescent="0.3">
      <c r="A373" s="101">
        <v>45356</v>
      </c>
      <c r="B373" s="102">
        <v>22356.3</v>
      </c>
    </row>
    <row r="374" spans="1:2" x14ac:dyDescent="0.3">
      <c r="A374" s="101">
        <v>45355</v>
      </c>
      <c r="B374" s="102">
        <v>22405.599999999999</v>
      </c>
    </row>
    <row r="375" spans="1:2" x14ac:dyDescent="0.3">
      <c r="A375" s="101">
        <v>45353</v>
      </c>
      <c r="B375" s="102">
        <v>22378.400000000001</v>
      </c>
    </row>
    <row r="376" spans="1:2" x14ac:dyDescent="0.3">
      <c r="A376" s="101">
        <v>45352</v>
      </c>
      <c r="B376" s="102">
        <v>22338.75</v>
      </c>
    </row>
    <row r="377" spans="1:2" x14ac:dyDescent="0.3">
      <c r="A377" s="101">
        <v>45351</v>
      </c>
      <c r="B377" s="102">
        <v>21982.799999999999</v>
      </c>
    </row>
    <row r="378" spans="1:2" x14ac:dyDescent="0.3">
      <c r="A378" s="101">
        <v>45350</v>
      </c>
      <c r="B378" s="102">
        <v>21951.15</v>
      </c>
    </row>
    <row r="379" spans="1:2" x14ac:dyDescent="0.3">
      <c r="A379" s="101">
        <v>45349</v>
      </c>
      <c r="B379" s="102">
        <v>22198.35</v>
      </c>
    </row>
    <row r="380" spans="1:2" x14ac:dyDescent="0.3">
      <c r="A380" s="101">
        <v>45348</v>
      </c>
      <c r="B380" s="102">
        <v>22122.05</v>
      </c>
    </row>
    <row r="381" spans="1:2" x14ac:dyDescent="0.3">
      <c r="A381" s="101">
        <v>45345</v>
      </c>
      <c r="B381" s="102">
        <v>22212.7</v>
      </c>
    </row>
    <row r="382" spans="1:2" x14ac:dyDescent="0.3">
      <c r="A382" s="101">
        <v>45344</v>
      </c>
      <c r="B382" s="102">
        <v>22217.45</v>
      </c>
    </row>
    <row r="383" spans="1:2" x14ac:dyDescent="0.3">
      <c r="A383" s="101">
        <v>45343</v>
      </c>
      <c r="B383" s="102">
        <v>22055.05</v>
      </c>
    </row>
    <row r="384" spans="1:2" x14ac:dyDescent="0.3">
      <c r="A384" s="101">
        <v>45342</v>
      </c>
      <c r="B384" s="102">
        <v>22196.95</v>
      </c>
    </row>
    <row r="385" spans="1:2" x14ac:dyDescent="0.3">
      <c r="A385" s="101">
        <v>45341</v>
      </c>
      <c r="B385" s="102">
        <v>22122.25</v>
      </c>
    </row>
    <row r="386" spans="1:2" x14ac:dyDescent="0.3">
      <c r="A386" s="101">
        <v>45338</v>
      </c>
      <c r="B386" s="102">
        <v>22040.7</v>
      </c>
    </row>
    <row r="387" spans="1:2" x14ac:dyDescent="0.3">
      <c r="A387" s="101">
        <v>45337</v>
      </c>
      <c r="B387" s="102">
        <v>21910.75</v>
      </c>
    </row>
    <row r="388" spans="1:2" x14ac:dyDescent="0.3">
      <c r="A388" s="101">
        <v>45336</v>
      </c>
      <c r="B388" s="102">
        <v>21840.05</v>
      </c>
    </row>
    <row r="389" spans="1:2" x14ac:dyDescent="0.3">
      <c r="A389" s="101">
        <v>45335</v>
      </c>
      <c r="B389" s="102">
        <v>21743.25</v>
      </c>
    </row>
    <row r="390" spans="1:2" x14ac:dyDescent="0.3">
      <c r="A390" s="101">
        <v>45334</v>
      </c>
      <c r="B390" s="102">
        <v>21616.05</v>
      </c>
    </row>
    <row r="391" spans="1:2" x14ac:dyDescent="0.3">
      <c r="A391" s="101">
        <v>45331</v>
      </c>
      <c r="B391" s="102">
        <v>21782.5</v>
      </c>
    </row>
    <row r="392" spans="1:2" x14ac:dyDescent="0.3">
      <c r="A392" s="101">
        <v>45330</v>
      </c>
      <c r="B392" s="102">
        <v>21717.95</v>
      </c>
    </row>
    <row r="393" spans="1:2" x14ac:dyDescent="0.3">
      <c r="A393" s="101">
        <v>45329</v>
      </c>
      <c r="B393" s="102">
        <v>21930.5</v>
      </c>
    </row>
    <row r="394" spans="1:2" x14ac:dyDescent="0.3">
      <c r="A394" s="101">
        <v>45328</v>
      </c>
      <c r="B394" s="102">
        <v>21929.4</v>
      </c>
    </row>
    <row r="395" spans="1:2" x14ac:dyDescent="0.3">
      <c r="A395" s="101">
        <v>45327</v>
      </c>
      <c r="B395" s="102">
        <v>21771.7</v>
      </c>
    </row>
    <row r="396" spans="1:2" x14ac:dyDescent="0.3">
      <c r="A396" s="101">
        <v>45324</v>
      </c>
      <c r="B396" s="102">
        <v>21853.8</v>
      </c>
    </row>
    <row r="397" spans="1:2" x14ac:dyDescent="0.3">
      <c r="A397" s="101">
        <v>45323</v>
      </c>
      <c r="B397" s="102">
        <v>21697.45</v>
      </c>
    </row>
    <row r="398" spans="1:2" x14ac:dyDescent="0.3">
      <c r="A398" s="101">
        <v>45322</v>
      </c>
      <c r="B398" s="102">
        <v>21725.7</v>
      </c>
    </row>
    <row r="399" spans="1:2" x14ac:dyDescent="0.3">
      <c r="A399" s="101">
        <v>45321</v>
      </c>
      <c r="B399" s="102">
        <v>21522.1</v>
      </c>
    </row>
    <row r="400" spans="1:2" x14ac:dyDescent="0.3">
      <c r="A400" s="101">
        <v>45320</v>
      </c>
      <c r="B400" s="102">
        <v>21737.599999999999</v>
      </c>
    </row>
    <row r="401" spans="1:2" x14ac:dyDescent="0.3">
      <c r="A401" s="101">
        <v>45316</v>
      </c>
      <c r="B401" s="102">
        <v>21352.6</v>
      </c>
    </row>
    <row r="402" spans="1:2" x14ac:dyDescent="0.3">
      <c r="A402" s="101">
        <v>45315</v>
      </c>
      <c r="B402" s="102">
        <v>21453.95</v>
      </c>
    </row>
    <row r="403" spans="1:2" x14ac:dyDescent="0.3">
      <c r="A403" s="101">
        <v>45314</v>
      </c>
      <c r="B403" s="102">
        <v>21238.799999999999</v>
      </c>
    </row>
    <row r="404" spans="1:2" x14ac:dyDescent="0.3">
      <c r="A404" s="101">
        <v>45311</v>
      </c>
      <c r="B404" s="102">
        <v>21571.8</v>
      </c>
    </row>
    <row r="405" spans="1:2" x14ac:dyDescent="0.3">
      <c r="A405" s="101">
        <v>45310</v>
      </c>
      <c r="B405" s="102">
        <v>21622.400000000001</v>
      </c>
    </row>
    <row r="406" spans="1:2" x14ac:dyDescent="0.3">
      <c r="A406" s="101">
        <v>45309</v>
      </c>
      <c r="B406" s="102">
        <v>21462.25</v>
      </c>
    </row>
    <row r="407" spans="1:2" x14ac:dyDescent="0.3">
      <c r="A407" s="101">
        <v>45308</v>
      </c>
      <c r="B407" s="102">
        <v>21571.95</v>
      </c>
    </row>
    <row r="408" spans="1:2" x14ac:dyDescent="0.3">
      <c r="A408" s="101">
        <v>45307</v>
      </c>
      <c r="B408" s="102">
        <v>22032.3</v>
      </c>
    </row>
    <row r="409" spans="1:2" x14ac:dyDescent="0.3">
      <c r="A409" s="101">
        <v>45306</v>
      </c>
      <c r="B409" s="102">
        <v>22097.45</v>
      </c>
    </row>
    <row r="410" spans="1:2" x14ac:dyDescent="0.3">
      <c r="A410" s="101">
        <v>45303</v>
      </c>
      <c r="B410" s="102">
        <v>21894.55</v>
      </c>
    </row>
    <row r="411" spans="1:2" x14ac:dyDescent="0.3">
      <c r="A411" s="101">
        <v>45302</v>
      </c>
      <c r="B411" s="102">
        <v>21647.200000000001</v>
      </c>
    </row>
    <row r="412" spans="1:2" x14ac:dyDescent="0.3">
      <c r="A412" s="101">
        <v>45301</v>
      </c>
      <c r="B412" s="102">
        <v>21618.7</v>
      </c>
    </row>
    <row r="413" spans="1:2" x14ac:dyDescent="0.3">
      <c r="A413" s="101">
        <v>45300</v>
      </c>
      <c r="B413" s="102">
        <v>21544.85</v>
      </c>
    </row>
    <row r="414" spans="1:2" x14ac:dyDescent="0.3">
      <c r="A414" s="101">
        <v>45299</v>
      </c>
      <c r="B414" s="102">
        <v>21513</v>
      </c>
    </row>
    <row r="415" spans="1:2" x14ac:dyDescent="0.3">
      <c r="A415" s="101">
        <v>45296</v>
      </c>
      <c r="B415" s="102">
        <v>21710.799999999999</v>
      </c>
    </row>
    <row r="416" spans="1:2" x14ac:dyDescent="0.3">
      <c r="A416" s="101">
        <v>45295</v>
      </c>
      <c r="B416" s="102">
        <v>21658.6</v>
      </c>
    </row>
    <row r="417" spans="1:2" x14ac:dyDescent="0.3">
      <c r="A417" s="101">
        <v>45294</v>
      </c>
      <c r="B417" s="102">
        <v>21517.35</v>
      </c>
    </row>
    <row r="418" spans="1:2" x14ac:dyDescent="0.3">
      <c r="A418" s="101">
        <v>45293</v>
      </c>
      <c r="B418" s="102">
        <v>21665.8</v>
      </c>
    </row>
    <row r="419" spans="1:2" x14ac:dyDescent="0.3">
      <c r="A419" s="101">
        <v>45292</v>
      </c>
      <c r="B419" s="102">
        <v>21741.9</v>
      </c>
    </row>
    <row r="420" spans="1:2" x14ac:dyDescent="0.3">
      <c r="A420" s="101">
        <v>45289</v>
      </c>
      <c r="B420" s="102">
        <v>21731.4</v>
      </c>
    </row>
    <row r="421" spans="1:2" x14ac:dyDescent="0.3">
      <c r="A421" s="101">
        <v>45288</v>
      </c>
      <c r="B421" s="102">
        <v>21778.7</v>
      </c>
    </row>
    <row r="422" spans="1:2" x14ac:dyDescent="0.3">
      <c r="A422" s="101">
        <v>45287</v>
      </c>
      <c r="B422" s="102">
        <v>21654.75</v>
      </c>
    </row>
    <row r="423" spans="1:2" x14ac:dyDescent="0.3">
      <c r="A423" s="101">
        <v>45286</v>
      </c>
      <c r="B423" s="102">
        <v>21441.35</v>
      </c>
    </row>
    <row r="424" spans="1:2" x14ac:dyDescent="0.3">
      <c r="A424" s="101">
        <v>45282</v>
      </c>
      <c r="B424" s="102">
        <v>21349.4</v>
      </c>
    </row>
    <row r="425" spans="1:2" x14ac:dyDescent="0.3">
      <c r="A425" s="101">
        <v>45281</v>
      </c>
      <c r="B425" s="102">
        <v>21255.05</v>
      </c>
    </row>
    <row r="426" spans="1:2" x14ac:dyDescent="0.3">
      <c r="A426" s="101">
        <v>45280</v>
      </c>
      <c r="B426" s="102">
        <v>21150.15</v>
      </c>
    </row>
    <row r="427" spans="1:2" x14ac:dyDescent="0.3">
      <c r="A427" s="101">
        <v>45279</v>
      </c>
      <c r="B427" s="102">
        <v>21453.1</v>
      </c>
    </row>
    <row r="428" spans="1:2" x14ac:dyDescent="0.3">
      <c r="A428" s="101">
        <v>45278</v>
      </c>
      <c r="B428" s="102">
        <v>21418.65</v>
      </c>
    </row>
    <row r="429" spans="1:2" x14ac:dyDescent="0.3">
      <c r="A429" s="101">
        <v>45275</v>
      </c>
      <c r="B429" s="102">
        <v>21456.65</v>
      </c>
    </row>
    <row r="430" spans="1:2" x14ac:dyDescent="0.3">
      <c r="A430" s="101">
        <v>45274</v>
      </c>
      <c r="B430" s="102">
        <v>21182.7</v>
      </c>
    </row>
    <row r="431" spans="1:2" x14ac:dyDescent="0.3">
      <c r="A431" s="101">
        <v>45273</v>
      </c>
      <c r="B431" s="102">
        <v>20926.349999999999</v>
      </c>
    </row>
    <row r="432" spans="1:2" x14ac:dyDescent="0.3">
      <c r="A432" s="101">
        <v>45272</v>
      </c>
      <c r="B432" s="102">
        <v>20906.400000000001</v>
      </c>
    </row>
    <row r="433" spans="1:2" x14ac:dyDescent="0.3">
      <c r="A433" s="101">
        <v>45271</v>
      </c>
      <c r="B433" s="102">
        <v>20997.1</v>
      </c>
    </row>
    <row r="434" spans="1:2" x14ac:dyDescent="0.3">
      <c r="A434" s="101">
        <v>45268</v>
      </c>
      <c r="B434" s="102">
        <v>20969.400000000001</v>
      </c>
    </row>
    <row r="435" spans="1:2" x14ac:dyDescent="0.3">
      <c r="A435" s="101">
        <v>45267</v>
      </c>
      <c r="B435" s="102">
        <v>20901.150000000001</v>
      </c>
    </row>
    <row r="436" spans="1:2" x14ac:dyDescent="0.3">
      <c r="A436" s="101">
        <v>45266</v>
      </c>
      <c r="B436" s="102">
        <v>20937.7</v>
      </c>
    </row>
    <row r="437" spans="1:2" x14ac:dyDescent="0.3">
      <c r="A437" s="101">
        <v>45265</v>
      </c>
      <c r="B437" s="102">
        <v>20855.099999999999</v>
      </c>
    </row>
    <row r="438" spans="1:2" x14ac:dyDescent="0.3">
      <c r="A438" s="101">
        <v>45264</v>
      </c>
      <c r="B438" s="102">
        <v>20686.8</v>
      </c>
    </row>
    <row r="439" spans="1:2" x14ac:dyDescent="0.3">
      <c r="A439" s="101">
        <v>45261</v>
      </c>
      <c r="B439" s="102">
        <v>20267.900000000001</v>
      </c>
    </row>
    <row r="440" spans="1:2" x14ac:dyDescent="0.3">
      <c r="A440" s="101">
        <v>45260</v>
      </c>
      <c r="B440" s="102">
        <v>20133.150000000001</v>
      </c>
    </row>
    <row r="441" spans="1:2" x14ac:dyDescent="0.3">
      <c r="A441" s="101">
        <v>45259</v>
      </c>
      <c r="B441" s="102">
        <v>20096.599999999999</v>
      </c>
    </row>
    <row r="442" spans="1:2" x14ac:dyDescent="0.3">
      <c r="A442" s="101">
        <v>45258</v>
      </c>
      <c r="B442" s="102">
        <v>19889.7</v>
      </c>
    </row>
    <row r="443" spans="1:2" x14ac:dyDescent="0.3">
      <c r="A443" s="101">
        <v>45254</v>
      </c>
      <c r="B443" s="102">
        <v>19794.7</v>
      </c>
    </row>
    <row r="444" spans="1:2" x14ac:dyDescent="0.3">
      <c r="A444" s="101">
        <v>45253</v>
      </c>
      <c r="B444" s="102">
        <v>19802</v>
      </c>
    </row>
    <row r="445" spans="1:2" x14ac:dyDescent="0.3">
      <c r="A445" s="101">
        <v>45252</v>
      </c>
      <c r="B445" s="102">
        <v>19811.849999999999</v>
      </c>
    </row>
    <row r="446" spans="1:2" x14ac:dyDescent="0.3">
      <c r="A446" s="101">
        <v>45251</v>
      </c>
      <c r="B446" s="102">
        <v>19783.400000000001</v>
      </c>
    </row>
    <row r="447" spans="1:2" x14ac:dyDescent="0.3">
      <c r="A447" s="101">
        <v>45250</v>
      </c>
      <c r="B447" s="102">
        <v>19694</v>
      </c>
    </row>
    <row r="448" spans="1:2" x14ac:dyDescent="0.3">
      <c r="A448" s="101">
        <v>45247</v>
      </c>
      <c r="B448" s="102">
        <v>19731.8</v>
      </c>
    </row>
    <row r="449" spans="1:2" x14ac:dyDescent="0.3">
      <c r="A449" s="101">
        <v>45246</v>
      </c>
      <c r="B449" s="102">
        <v>19765.2</v>
      </c>
    </row>
    <row r="450" spans="1:2" x14ac:dyDescent="0.3">
      <c r="A450" s="101">
        <v>45245</v>
      </c>
      <c r="B450" s="102">
        <v>19675.45</v>
      </c>
    </row>
    <row r="451" spans="1:2" x14ac:dyDescent="0.3">
      <c r="A451" s="101">
        <v>45243</v>
      </c>
      <c r="B451" s="102">
        <v>19443.55</v>
      </c>
    </row>
    <row r="452" spans="1:2" x14ac:dyDescent="0.3">
      <c r="A452" s="101">
        <v>45242</v>
      </c>
      <c r="B452" s="102">
        <v>19525.55</v>
      </c>
    </row>
    <row r="453" spans="1:2" x14ac:dyDescent="0.3">
      <c r="A453" s="101">
        <v>45240</v>
      </c>
      <c r="B453" s="102">
        <v>19425.349999999999</v>
      </c>
    </row>
    <row r="454" spans="1:2" x14ac:dyDescent="0.3">
      <c r="A454" s="101">
        <v>45239</v>
      </c>
      <c r="B454" s="102">
        <v>19395.3</v>
      </c>
    </row>
    <row r="455" spans="1:2" x14ac:dyDescent="0.3">
      <c r="A455" s="101">
        <v>45238</v>
      </c>
      <c r="B455" s="102">
        <v>19443.5</v>
      </c>
    </row>
    <row r="456" spans="1:2" x14ac:dyDescent="0.3">
      <c r="A456" s="101">
        <v>45237</v>
      </c>
      <c r="B456" s="102">
        <v>19406.7</v>
      </c>
    </row>
    <row r="457" spans="1:2" x14ac:dyDescent="0.3">
      <c r="A457" s="101">
        <v>45236</v>
      </c>
      <c r="B457" s="102">
        <v>19411.75</v>
      </c>
    </row>
    <row r="458" spans="1:2" x14ac:dyDescent="0.3">
      <c r="A458" s="101">
        <v>45233</v>
      </c>
      <c r="B458" s="102">
        <v>19230.599999999999</v>
      </c>
    </row>
    <row r="459" spans="1:2" x14ac:dyDescent="0.3">
      <c r="A459" s="101">
        <v>45232</v>
      </c>
      <c r="B459" s="102">
        <v>19133.25</v>
      </c>
    </row>
    <row r="460" spans="1:2" x14ac:dyDescent="0.3">
      <c r="A460" s="101">
        <v>45231</v>
      </c>
      <c r="B460" s="102">
        <v>18989.150000000001</v>
      </c>
    </row>
    <row r="461" spans="1:2" x14ac:dyDescent="0.3">
      <c r="A461" s="101">
        <v>45230</v>
      </c>
      <c r="B461" s="102">
        <v>19079.599999999999</v>
      </c>
    </row>
    <row r="462" spans="1:2" x14ac:dyDescent="0.3">
      <c r="A462" s="101">
        <v>45229</v>
      </c>
      <c r="B462" s="102">
        <v>19140.900000000001</v>
      </c>
    </row>
    <row r="463" spans="1:2" x14ac:dyDescent="0.3">
      <c r="A463" s="101">
        <v>45226</v>
      </c>
      <c r="B463" s="102">
        <v>19047.25</v>
      </c>
    </row>
    <row r="464" spans="1:2" x14ac:dyDescent="0.3">
      <c r="A464" s="101">
        <v>45225</v>
      </c>
      <c r="B464" s="102">
        <v>18857.25</v>
      </c>
    </row>
    <row r="465" spans="1:2" x14ac:dyDescent="0.3">
      <c r="A465" s="101">
        <v>45224</v>
      </c>
      <c r="B465" s="102">
        <v>19122.150000000001</v>
      </c>
    </row>
    <row r="466" spans="1:2" x14ac:dyDescent="0.3">
      <c r="A466" s="101">
        <v>45222</v>
      </c>
      <c r="B466" s="102">
        <v>19281.75</v>
      </c>
    </row>
    <row r="467" spans="1:2" x14ac:dyDescent="0.3">
      <c r="A467" s="101">
        <v>45219</v>
      </c>
      <c r="B467" s="102">
        <v>19542.650000000001</v>
      </c>
    </row>
    <row r="468" spans="1:2" x14ac:dyDescent="0.3">
      <c r="A468" s="101">
        <v>45218</v>
      </c>
      <c r="B468" s="102">
        <v>19624.7</v>
      </c>
    </row>
    <row r="469" spans="1:2" x14ac:dyDescent="0.3">
      <c r="A469" s="101">
        <v>45217</v>
      </c>
      <c r="B469" s="102">
        <v>19671.099999999999</v>
      </c>
    </row>
    <row r="470" spans="1:2" x14ac:dyDescent="0.3">
      <c r="A470" s="101">
        <v>45216</v>
      </c>
      <c r="B470" s="102">
        <v>19811.5</v>
      </c>
    </row>
    <row r="471" spans="1:2" x14ac:dyDescent="0.3">
      <c r="A471" s="101">
        <v>45215</v>
      </c>
      <c r="B471" s="102">
        <v>19731.75</v>
      </c>
    </row>
    <row r="472" spans="1:2" x14ac:dyDescent="0.3">
      <c r="A472" s="101">
        <v>45212</v>
      </c>
      <c r="B472" s="102">
        <v>19751.05</v>
      </c>
    </row>
    <row r="473" spans="1:2" x14ac:dyDescent="0.3">
      <c r="A473" s="101">
        <v>45211</v>
      </c>
      <c r="B473" s="102">
        <v>19794</v>
      </c>
    </row>
    <row r="474" spans="1:2" x14ac:dyDescent="0.3">
      <c r="A474" s="101">
        <v>45210</v>
      </c>
      <c r="B474" s="102">
        <v>19811.349999999999</v>
      </c>
    </row>
    <row r="475" spans="1:2" x14ac:dyDescent="0.3">
      <c r="A475" s="101">
        <v>45209</v>
      </c>
      <c r="B475" s="102">
        <v>19689.849999999999</v>
      </c>
    </row>
    <row r="476" spans="1:2" x14ac:dyDescent="0.3">
      <c r="A476" s="101">
        <v>45208</v>
      </c>
      <c r="B476" s="102">
        <v>19512.349999999999</v>
      </c>
    </row>
    <row r="477" spans="1:2" x14ac:dyDescent="0.3">
      <c r="A477" s="101">
        <v>45205</v>
      </c>
      <c r="B477" s="102">
        <v>19653.5</v>
      </c>
    </row>
    <row r="478" spans="1:2" x14ac:dyDescent="0.3">
      <c r="A478" s="101">
        <v>45204</v>
      </c>
      <c r="B478" s="102">
        <v>19545.75</v>
      </c>
    </row>
    <row r="479" spans="1:2" x14ac:dyDescent="0.3">
      <c r="A479" s="101">
        <v>45203</v>
      </c>
      <c r="B479" s="102">
        <v>19436.099999999999</v>
      </c>
    </row>
    <row r="480" spans="1:2" x14ac:dyDescent="0.3">
      <c r="A480" s="101">
        <v>45202</v>
      </c>
      <c r="B480" s="102">
        <v>19528.75</v>
      </c>
    </row>
    <row r="481" spans="1:2" x14ac:dyDescent="0.3">
      <c r="A481" s="101">
        <v>45198</v>
      </c>
      <c r="B481" s="102">
        <v>19638.3</v>
      </c>
    </row>
    <row r="482" spans="1:2" x14ac:dyDescent="0.3">
      <c r="A482" s="101">
        <v>45197</v>
      </c>
      <c r="B482" s="102">
        <v>19523.55</v>
      </c>
    </row>
    <row r="483" spans="1:2" x14ac:dyDescent="0.3">
      <c r="A483" s="101">
        <v>45196</v>
      </c>
      <c r="B483" s="102">
        <v>19716.45</v>
      </c>
    </row>
    <row r="484" spans="1:2" x14ac:dyDescent="0.3">
      <c r="A484" s="101">
        <v>45195</v>
      </c>
      <c r="B484" s="102">
        <v>19664.7</v>
      </c>
    </row>
    <row r="485" spans="1:2" x14ac:dyDescent="0.3">
      <c r="A485" s="101">
        <v>45194</v>
      </c>
      <c r="B485" s="102">
        <v>19674.55</v>
      </c>
    </row>
    <row r="486" spans="1:2" x14ac:dyDescent="0.3">
      <c r="A486" s="101">
        <v>45191</v>
      </c>
      <c r="B486" s="102">
        <v>19674.25</v>
      </c>
    </row>
    <row r="487" spans="1:2" x14ac:dyDescent="0.3">
      <c r="A487" s="101">
        <v>45190</v>
      </c>
      <c r="B487" s="102">
        <v>19742.349999999999</v>
      </c>
    </row>
    <row r="488" spans="1:2" x14ac:dyDescent="0.3">
      <c r="A488" s="101">
        <v>45189</v>
      </c>
      <c r="B488" s="102">
        <v>19901.400000000001</v>
      </c>
    </row>
    <row r="489" spans="1:2" x14ac:dyDescent="0.3">
      <c r="A489" s="101">
        <v>45187</v>
      </c>
      <c r="B489" s="102">
        <v>20133.3</v>
      </c>
    </row>
    <row r="490" spans="1:2" x14ac:dyDescent="0.3">
      <c r="A490" s="101">
        <v>45184</v>
      </c>
      <c r="B490" s="102">
        <v>20192.349999999999</v>
      </c>
    </row>
    <row r="491" spans="1:2" x14ac:dyDescent="0.3">
      <c r="A491" s="101">
        <v>45183</v>
      </c>
      <c r="B491" s="102">
        <v>20103.099999999999</v>
      </c>
    </row>
    <row r="492" spans="1:2" x14ac:dyDescent="0.3">
      <c r="A492" s="101">
        <v>45182</v>
      </c>
      <c r="B492" s="102">
        <v>20070</v>
      </c>
    </row>
    <row r="493" spans="1:2" x14ac:dyDescent="0.3">
      <c r="A493" s="101">
        <v>45181</v>
      </c>
      <c r="B493" s="102">
        <v>19993.2</v>
      </c>
    </row>
    <row r="494" spans="1:2" x14ac:dyDescent="0.3">
      <c r="A494" s="101">
        <v>45180</v>
      </c>
      <c r="B494" s="102">
        <v>19996.349999999999</v>
      </c>
    </row>
    <row r="495" spans="1:2" x14ac:dyDescent="0.3">
      <c r="A495" s="101">
        <v>45177</v>
      </c>
      <c r="B495" s="102">
        <v>19819.95</v>
      </c>
    </row>
    <row r="496" spans="1:2" x14ac:dyDescent="0.3">
      <c r="A496" s="101">
        <v>45176</v>
      </c>
      <c r="B496" s="102">
        <v>19727.05</v>
      </c>
    </row>
    <row r="497" spans="1:2" x14ac:dyDescent="0.3">
      <c r="A497" s="101">
        <v>45175</v>
      </c>
      <c r="B497" s="102">
        <v>19611.05</v>
      </c>
    </row>
    <row r="498" spans="1:2" x14ac:dyDescent="0.3">
      <c r="A498" s="101">
        <v>45174</v>
      </c>
      <c r="B498" s="102">
        <v>19574.900000000001</v>
      </c>
    </row>
    <row r="499" spans="1:2" x14ac:dyDescent="0.3">
      <c r="A499" s="101">
        <v>45173</v>
      </c>
      <c r="B499" s="102">
        <v>19528.8</v>
      </c>
    </row>
    <row r="500" spans="1:2" x14ac:dyDescent="0.3">
      <c r="A500" s="101">
        <v>45170</v>
      </c>
      <c r="B500" s="102">
        <v>19435.3</v>
      </c>
    </row>
    <row r="501" spans="1:2" x14ac:dyDescent="0.3">
      <c r="A501" s="101">
        <v>45169</v>
      </c>
      <c r="B501" s="102">
        <v>19253.8</v>
      </c>
    </row>
    <row r="502" spans="1:2" x14ac:dyDescent="0.3">
      <c r="A502" s="101">
        <v>45168</v>
      </c>
      <c r="B502" s="102">
        <v>19347.45</v>
      </c>
    </row>
    <row r="503" spans="1:2" x14ac:dyDescent="0.3">
      <c r="A503" s="101">
        <v>45167</v>
      </c>
      <c r="B503" s="102">
        <v>19342.650000000001</v>
      </c>
    </row>
    <row r="504" spans="1:2" x14ac:dyDescent="0.3">
      <c r="A504" s="101">
        <v>45166</v>
      </c>
      <c r="B504" s="102">
        <v>19306.05</v>
      </c>
    </row>
    <row r="505" spans="1:2" x14ac:dyDescent="0.3">
      <c r="A505" s="101">
        <v>45163</v>
      </c>
      <c r="B505" s="102">
        <v>19265.8</v>
      </c>
    </row>
    <row r="506" spans="1:2" x14ac:dyDescent="0.3">
      <c r="A506" s="101">
        <v>45162</v>
      </c>
      <c r="B506" s="102">
        <v>19386.7</v>
      </c>
    </row>
    <row r="507" spans="1:2" x14ac:dyDescent="0.3">
      <c r="A507" s="101">
        <v>45161</v>
      </c>
      <c r="B507" s="102">
        <v>19444</v>
      </c>
    </row>
    <row r="508" spans="1:2" x14ac:dyDescent="0.3">
      <c r="A508" s="101">
        <v>45160</v>
      </c>
      <c r="B508" s="102">
        <v>19396.45</v>
      </c>
    </row>
    <row r="509" spans="1:2" x14ac:dyDescent="0.3">
      <c r="A509" s="101">
        <v>45159</v>
      </c>
      <c r="B509" s="102">
        <v>19393.599999999999</v>
      </c>
    </row>
    <row r="510" spans="1:2" x14ac:dyDescent="0.3">
      <c r="A510" s="101">
        <v>45156</v>
      </c>
      <c r="B510" s="102">
        <v>19310.150000000001</v>
      </c>
    </row>
    <row r="511" spans="1:2" x14ac:dyDescent="0.3">
      <c r="A511" s="101">
        <v>45155</v>
      </c>
      <c r="B511" s="102">
        <v>19365.25</v>
      </c>
    </row>
    <row r="512" spans="1:2" x14ac:dyDescent="0.3">
      <c r="A512" s="101">
        <v>45154</v>
      </c>
      <c r="B512" s="102">
        <v>19465</v>
      </c>
    </row>
    <row r="513" spans="1:2" x14ac:dyDescent="0.3">
      <c r="A513" s="101">
        <v>45152</v>
      </c>
      <c r="B513" s="102">
        <v>19434.55</v>
      </c>
    </row>
    <row r="514" spans="1:2" x14ac:dyDescent="0.3">
      <c r="A514" s="101">
        <v>45149</v>
      </c>
      <c r="B514" s="102">
        <v>19428.3</v>
      </c>
    </row>
    <row r="515" spans="1:2" x14ac:dyDescent="0.3">
      <c r="A515" s="101">
        <v>45148</v>
      </c>
      <c r="B515" s="102">
        <v>19543.099999999999</v>
      </c>
    </row>
    <row r="516" spans="1:2" x14ac:dyDescent="0.3">
      <c r="A516" s="101">
        <v>45147</v>
      </c>
      <c r="B516" s="102">
        <v>19632.55</v>
      </c>
    </row>
    <row r="517" spans="1:2" x14ac:dyDescent="0.3">
      <c r="A517" s="101">
        <v>45146</v>
      </c>
      <c r="B517" s="102">
        <v>19570.849999999999</v>
      </c>
    </row>
    <row r="518" spans="1:2" x14ac:dyDescent="0.3">
      <c r="A518" s="101">
        <v>45145</v>
      </c>
      <c r="B518" s="102">
        <v>19597.3</v>
      </c>
    </row>
    <row r="519" spans="1:2" x14ac:dyDescent="0.3">
      <c r="A519" s="101">
        <v>45142</v>
      </c>
      <c r="B519" s="102">
        <v>19517</v>
      </c>
    </row>
    <row r="520" spans="1:2" x14ac:dyDescent="0.3">
      <c r="A520" s="101">
        <v>45141</v>
      </c>
      <c r="B520" s="102">
        <v>19381.650000000001</v>
      </c>
    </row>
    <row r="521" spans="1:2" x14ac:dyDescent="0.3">
      <c r="A521" s="101">
        <v>45140</v>
      </c>
      <c r="B521" s="102">
        <v>19526.55</v>
      </c>
    </row>
    <row r="522" spans="1:2" x14ac:dyDescent="0.3">
      <c r="A522" s="101">
        <v>45139</v>
      </c>
      <c r="B522" s="102">
        <v>19733.55</v>
      </c>
    </row>
    <row r="523" spans="1:2" x14ac:dyDescent="0.3">
      <c r="A523" s="101">
        <v>45138</v>
      </c>
      <c r="B523" s="102">
        <v>19753.8</v>
      </c>
    </row>
    <row r="524" spans="1:2" x14ac:dyDescent="0.3">
      <c r="A524" s="101">
        <v>45135</v>
      </c>
      <c r="B524" s="102">
        <v>19646.05</v>
      </c>
    </row>
    <row r="525" spans="1:2" x14ac:dyDescent="0.3">
      <c r="A525" s="101">
        <v>45134</v>
      </c>
      <c r="B525" s="102">
        <v>19659.900000000001</v>
      </c>
    </row>
    <row r="526" spans="1:2" x14ac:dyDescent="0.3">
      <c r="A526" s="101">
        <v>45133</v>
      </c>
      <c r="B526" s="102">
        <v>19778.3</v>
      </c>
    </row>
    <row r="527" spans="1:2" x14ac:dyDescent="0.3">
      <c r="A527" s="101">
        <v>45132</v>
      </c>
      <c r="B527" s="102">
        <v>19680.599999999999</v>
      </c>
    </row>
    <row r="528" spans="1:2" x14ac:dyDescent="0.3">
      <c r="A528" s="101">
        <v>45131</v>
      </c>
      <c r="B528" s="102">
        <v>19672.349999999999</v>
      </c>
    </row>
    <row r="529" spans="1:2" x14ac:dyDescent="0.3">
      <c r="A529" s="101">
        <v>45128</v>
      </c>
      <c r="B529" s="102">
        <v>19745</v>
      </c>
    </row>
    <row r="530" spans="1:2" x14ac:dyDescent="0.3">
      <c r="A530" s="101">
        <v>45127</v>
      </c>
      <c r="B530" s="102">
        <v>19979.150000000001</v>
      </c>
    </row>
    <row r="531" spans="1:2" x14ac:dyDescent="0.3">
      <c r="A531" s="101">
        <v>45126</v>
      </c>
      <c r="B531" s="102">
        <v>19833.150000000001</v>
      </c>
    </row>
    <row r="532" spans="1:2" x14ac:dyDescent="0.3">
      <c r="A532" s="101">
        <v>45125</v>
      </c>
      <c r="B532" s="102">
        <v>19749.25</v>
      </c>
    </row>
    <row r="533" spans="1:2" x14ac:dyDescent="0.3">
      <c r="A533" s="101">
        <v>45124</v>
      </c>
      <c r="B533" s="102">
        <v>19711.45</v>
      </c>
    </row>
    <row r="534" spans="1:2" x14ac:dyDescent="0.3">
      <c r="A534" s="101">
        <v>45121</v>
      </c>
      <c r="B534" s="102">
        <v>19564.5</v>
      </c>
    </row>
    <row r="535" spans="1:2" x14ac:dyDescent="0.3">
      <c r="A535" s="101">
        <v>45120</v>
      </c>
      <c r="B535" s="102">
        <v>19413.75</v>
      </c>
    </row>
    <row r="536" spans="1:2" x14ac:dyDescent="0.3">
      <c r="A536" s="101">
        <v>45119</v>
      </c>
      <c r="B536" s="102">
        <v>19384.3</v>
      </c>
    </row>
    <row r="537" spans="1:2" x14ac:dyDescent="0.3">
      <c r="A537" s="101">
        <v>45118</v>
      </c>
      <c r="B537" s="102">
        <v>19439.400000000001</v>
      </c>
    </row>
    <row r="538" spans="1:2" x14ac:dyDescent="0.3">
      <c r="A538" s="101">
        <v>45117</v>
      </c>
      <c r="B538" s="102">
        <v>19355.900000000001</v>
      </c>
    </row>
    <row r="539" spans="1:2" x14ac:dyDescent="0.3">
      <c r="A539" s="101">
        <v>45114</v>
      </c>
      <c r="B539" s="102">
        <v>19331.8</v>
      </c>
    </row>
    <row r="540" spans="1:2" x14ac:dyDescent="0.3">
      <c r="A540" s="101">
        <v>45113</v>
      </c>
      <c r="B540" s="102">
        <v>19497.3</v>
      </c>
    </row>
    <row r="541" spans="1:2" x14ac:dyDescent="0.3">
      <c r="A541" s="101">
        <v>45112</v>
      </c>
      <c r="B541" s="102">
        <v>19398.5</v>
      </c>
    </row>
    <row r="542" spans="1:2" x14ac:dyDescent="0.3">
      <c r="A542" s="101">
        <v>45111</v>
      </c>
      <c r="B542" s="102">
        <v>19389</v>
      </c>
    </row>
    <row r="543" spans="1:2" x14ac:dyDescent="0.3">
      <c r="A543" s="101">
        <v>45110</v>
      </c>
      <c r="B543" s="102">
        <v>19322.55</v>
      </c>
    </row>
    <row r="544" spans="1:2" x14ac:dyDescent="0.3">
      <c r="A544" s="101">
        <v>45107</v>
      </c>
      <c r="B544" s="102">
        <v>19189.05</v>
      </c>
    </row>
    <row r="545" spans="1:2" x14ac:dyDescent="0.3">
      <c r="A545" s="101">
        <v>45105</v>
      </c>
      <c r="B545" s="102">
        <v>18972.099999999999</v>
      </c>
    </row>
    <row r="546" spans="1:2" x14ac:dyDescent="0.3">
      <c r="A546" s="101">
        <v>45104</v>
      </c>
      <c r="B546" s="102">
        <v>18817.400000000001</v>
      </c>
    </row>
    <row r="547" spans="1:2" x14ac:dyDescent="0.3">
      <c r="A547" s="101">
        <v>45103</v>
      </c>
      <c r="B547" s="102">
        <v>18691.2</v>
      </c>
    </row>
    <row r="548" spans="1:2" x14ac:dyDescent="0.3">
      <c r="A548" s="101">
        <v>45100</v>
      </c>
      <c r="B548" s="102">
        <v>18665.5</v>
      </c>
    </row>
    <row r="549" spans="1:2" x14ac:dyDescent="0.3">
      <c r="A549" s="101">
        <v>45099</v>
      </c>
      <c r="B549" s="102">
        <v>18771.25</v>
      </c>
    </row>
    <row r="550" spans="1:2" x14ac:dyDescent="0.3">
      <c r="A550" s="101">
        <v>45098</v>
      </c>
      <c r="B550" s="102">
        <v>18856.849999999999</v>
      </c>
    </row>
    <row r="551" spans="1:2" x14ac:dyDescent="0.3">
      <c r="A551" s="101">
        <v>45097</v>
      </c>
      <c r="B551" s="102">
        <v>18816.7</v>
      </c>
    </row>
    <row r="552" spans="1:2" x14ac:dyDescent="0.3">
      <c r="A552" s="101">
        <v>45096</v>
      </c>
      <c r="B552" s="102">
        <v>18755.45</v>
      </c>
    </row>
    <row r="553" spans="1:2" x14ac:dyDescent="0.3">
      <c r="A553" s="101">
        <v>45093</v>
      </c>
      <c r="B553" s="102">
        <v>18826</v>
      </c>
    </row>
    <row r="554" spans="1:2" x14ac:dyDescent="0.3">
      <c r="A554" s="101">
        <v>45092</v>
      </c>
      <c r="B554" s="102">
        <v>18688.099999999999</v>
      </c>
    </row>
    <row r="555" spans="1:2" x14ac:dyDescent="0.3">
      <c r="A555" s="101">
        <v>45091</v>
      </c>
      <c r="B555" s="102">
        <v>18755.900000000001</v>
      </c>
    </row>
    <row r="556" spans="1:2" x14ac:dyDescent="0.3">
      <c r="A556" s="101">
        <v>45090</v>
      </c>
      <c r="B556" s="102">
        <v>18716.150000000001</v>
      </c>
    </row>
    <row r="557" spans="1:2" x14ac:dyDescent="0.3">
      <c r="A557" s="101">
        <v>45089</v>
      </c>
      <c r="B557" s="102">
        <v>18601.5</v>
      </c>
    </row>
    <row r="558" spans="1:2" x14ac:dyDescent="0.3">
      <c r="A558" s="101">
        <v>45086</v>
      </c>
      <c r="B558" s="102">
        <v>18563.400000000001</v>
      </c>
    </row>
    <row r="559" spans="1:2" x14ac:dyDescent="0.3">
      <c r="A559" s="101">
        <v>45085</v>
      </c>
      <c r="B559" s="102">
        <v>18634.55</v>
      </c>
    </row>
    <row r="560" spans="1:2" x14ac:dyDescent="0.3">
      <c r="A560" s="101">
        <v>45084</v>
      </c>
      <c r="B560" s="102">
        <v>18726.400000000001</v>
      </c>
    </row>
    <row r="561" spans="1:2" x14ac:dyDescent="0.3">
      <c r="A561" s="101">
        <v>45083</v>
      </c>
      <c r="B561" s="102">
        <v>18599</v>
      </c>
    </row>
    <row r="562" spans="1:2" x14ac:dyDescent="0.3">
      <c r="A562" s="101">
        <v>45082</v>
      </c>
      <c r="B562" s="102">
        <v>18593.849999999999</v>
      </c>
    </row>
    <row r="563" spans="1:2" x14ac:dyDescent="0.3">
      <c r="A563" s="101">
        <v>45079</v>
      </c>
      <c r="B563" s="102">
        <v>18534.099999999999</v>
      </c>
    </row>
    <row r="564" spans="1:2" x14ac:dyDescent="0.3">
      <c r="A564" s="101">
        <v>45078</v>
      </c>
      <c r="B564" s="102">
        <v>18487.75</v>
      </c>
    </row>
    <row r="565" spans="1:2" x14ac:dyDescent="0.3">
      <c r="A565" s="101">
        <v>45077</v>
      </c>
      <c r="B565" s="102">
        <v>18534.400000000001</v>
      </c>
    </row>
    <row r="566" spans="1:2" x14ac:dyDescent="0.3">
      <c r="A566" s="101">
        <v>45076</v>
      </c>
      <c r="B566" s="102">
        <v>18633.849999999999</v>
      </c>
    </row>
    <row r="567" spans="1:2" x14ac:dyDescent="0.3">
      <c r="A567" s="101">
        <v>45075</v>
      </c>
      <c r="B567" s="102">
        <v>18598.650000000001</v>
      </c>
    </row>
    <row r="568" spans="1:2" x14ac:dyDescent="0.3">
      <c r="A568" s="101">
        <v>45072</v>
      </c>
      <c r="B568" s="102">
        <v>18499.349999999999</v>
      </c>
    </row>
    <row r="569" spans="1:2" x14ac:dyDescent="0.3">
      <c r="A569" s="101">
        <v>45071</v>
      </c>
      <c r="B569" s="102">
        <v>18321.150000000001</v>
      </c>
    </row>
    <row r="570" spans="1:2" x14ac:dyDescent="0.3">
      <c r="A570" s="101">
        <v>45070</v>
      </c>
      <c r="B570" s="102">
        <v>18285.400000000001</v>
      </c>
    </row>
    <row r="571" spans="1:2" x14ac:dyDescent="0.3">
      <c r="A571" s="101">
        <v>45069</v>
      </c>
      <c r="B571" s="102">
        <v>18348</v>
      </c>
    </row>
    <row r="572" spans="1:2" x14ac:dyDescent="0.3">
      <c r="A572" s="101">
        <v>45068</v>
      </c>
      <c r="B572" s="102">
        <v>18314.400000000001</v>
      </c>
    </row>
    <row r="573" spans="1:2" x14ac:dyDescent="0.3">
      <c r="A573" s="101">
        <v>45065</v>
      </c>
      <c r="B573" s="102">
        <v>18203.400000000001</v>
      </c>
    </row>
    <row r="574" spans="1:2" x14ac:dyDescent="0.3">
      <c r="A574" s="101">
        <v>45064</v>
      </c>
      <c r="B574" s="102">
        <v>18129.95</v>
      </c>
    </row>
    <row r="575" spans="1:2" x14ac:dyDescent="0.3">
      <c r="A575" s="101">
        <v>45063</v>
      </c>
      <c r="B575" s="102">
        <v>18181.75</v>
      </c>
    </row>
    <row r="576" spans="1:2" x14ac:dyDescent="0.3">
      <c r="A576" s="101">
        <v>45062</v>
      </c>
      <c r="B576" s="102">
        <v>18286.5</v>
      </c>
    </row>
    <row r="577" spans="1:2" x14ac:dyDescent="0.3">
      <c r="A577" s="101">
        <v>45061</v>
      </c>
      <c r="B577" s="102">
        <v>18398.849999999999</v>
      </c>
    </row>
    <row r="578" spans="1:2" x14ac:dyDescent="0.3">
      <c r="A578" s="101">
        <v>45058</v>
      </c>
      <c r="B578" s="102">
        <v>18314.8</v>
      </c>
    </row>
    <row r="579" spans="1:2" x14ac:dyDescent="0.3">
      <c r="A579" s="101">
        <v>45057</v>
      </c>
      <c r="B579" s="102">
        <v>18297</v>
      </c>
    </row>
    <row r="580" spans="1:2" x14ac:dyDescent="0.3">
      <c r="A580" s="101">
        <v>45056</v>
      </c>
      <c r="B580" s="102">
        <v>18315.099999999999</v>
      </c>
    </row>
    <row r="581" spans="1:2" x14ac:dyDescent="0.3">
      <c r="A581" s="101">
        <v>45055</v>
      </c>
      <c r="B581" s="102">
        <v>18265.95</v>
      </c>
    </row>
    <row r="582" spans="1:2" x14ac:dyDescent="0.3">
      <c r="A582" s="101">
        <v>45054</v>
      </c>
      <c r="B582" s="102">
        <v>18264.400000000001</v>
      </c>
    </row>
    <row r="583" spans="1:2" x14ac:dyDescent="0.3">
      <c r="A583" s="101">
        <v>45051</v>
      </c>
      <c r="B583" s="102">
        <v>18069</v>
      </c>
    </row>
    <row r="584" spans="1:2" x14ac:dyDescent="0.3">
      <c r="A584" s="101">
        <v>45050</v>
      </c>
      <c r="B584" s="102">
        <v>18255.8</v>
      </c>
    </row>
    <row r="585" spans="1:2" x14ac:dyDescent="0.3">
      <c r="A585" s="101">
        <v>45049</v>
      </c>
      <c r="B585" s="102">
        <v>18089.849999999999</v>
      </c>
    </row>
    <row r="586" spans="1:2" x14ac:dyDescent="0.3">
      <c r="A586" s="101">
        <v>45048</v>
      </c>
      <c r="B586" s="102">
        <v>18147.650000000001</v>
      </c>
    </row>
    <row r="587" spans="1:2" x14ac:dyDescent="0.3">
      <c r="A587" s="101">
        <v>45044</v>
      </c>
      <c r="B587" s="102">
        <v>18065</v>
      </c>
    </row>
    <row r="588" spans="1:2" x14ac:dyDescent="0.3">
      <c r="A588" s="101">
        <v>45043</v>
      </c>
      <c r="B588" s="102">
        <v>17915.05</v>
      </c>
    </row>
    <row r="589" spans="1:2" x14ac:dyDescent="0.3">
      <c r="A589" s="101">
        <v>45042</v>
      </c>
      <c r="B589" s="102">
        <v>17813.599999999999</v>
      </c>
    </row>
    <row r="590" spans="1:2" x14ac:dyDescent="0.3">
      <c r="A590" s="101">
        <v>45041</v>
      </c>
      <c r="B590" s="102">
        <v>17769.25</v>
      </c>
    </row>
    <row r="591" spans="1:2" x14ac:dyDescent="0.3">
      <c r="A591" s="101">
        <v>45040</v>
      </c>
      <c r="B591" s="102">
        <v>17743.400000000001</v>
      </c>
    </row>
    <row r="592" spans="1:2" x14ac:dyDescent="0.3">
      <c r="A592" s="101">
        <v>45037</v>
      </c>
      <c r="B592" s="102">
        <v>17624.05</v>
      </c>
    </row>
    <row r="593" spans="1:2" x14ac:dyDescent="0.3">
      <c r="A593" s="101">
        <v>45036</v>
      </c>
      <c r="B593" s="102">
        <v>17624.45</v>
      </c>
    </row>
    <row r="594" spans="1:2" x14ac:dyDescent="0.3">
      <c r="A594" s="101">
        <v>45035</v>
      </c>
      <c r="B594" s="102">
        <v>17618.75</v>
      </c>
    </row>
    <row r="595" spans="1:2" x14ac:dyDescent="0.3">
      <c r="A595" s="101">
        <v>45034</v>
      </c>
      <c r="B595" s="102">
        <v>17660.150000000001</v>
      </c>
    </row>
    <row r="596" spans="1:2" x14ac:dyDescent="0.3">
      <c r="A596" s="101">
        <v>45033</v>
      </c>
      <c r="B596" s="102">
        <v>17706.849999999999</v>
      </c>
    </row>
    <row r="597" spans="1:2" x14ac:dyDescent="0.3">
      <c r="A597" s="101">
        <v>45029</v>
      </c>
      <c r="B597" s="102">
        <v>17828</v>
      </c>
    </row>
    <row r="598" spans="1:2" x14ac:dyDescent="0.3">
      <c r="A598" s="101">
        <v>45028</v>
      </c>
      <c r="B598" s="102">
        <v>17812.400000000001</v>
      </c>
    </row>
    <row r="599" spans="1:2" x14ac:dyDescent="0.3">
      <c r="A599" s="101">
        <v>45027</v>
      </c>
      <c r="B599" s="102">
        <v>17722.3</v>
      </c>
    </row>
    <row r="600" spans="1:2" x14ac:dyDescent="0.3">
      <c r="A600" s="101">
        <v>45026</v>
      </c>
      <c r="B600" s="102">
        <v>17624.05</v>
      </c>
    </row>
    <row r="601" spans="1:2" x14ac:dyDescent="0.3">
      <c r="A601" s="101">
        <v>45022</v>
      </c>
      <c r="B601" s="102">
        <v>17599.150000000001</v>
      </c>
    </row>
    <row r="602" spans="1:2" x14ac:dyDescent="0.3">
      <c r="A602" s="101">
        <v>45021</v>
      </c>
      <c r="B602" s="102">
        <v>17557.05</v>
      </c>
    </row>
    <row r="603" spans="1:2" x14ac:dyDescent="0.3">
      <c r="A603" s="101">
        <v>45019</v>
      </c>
      <c r="B603" s="102">
        <v>17398.05</v>
      </c>
    </row>
    <row r="604" spans="1:2" x14ac:dyDescent="0.3">
      <c r="A604" s="101">
        <v>45016</v>
      </c>
      <c r="B604" s="102">
        <v>17359.75</v>
      </c>
    </row>
    <row r="605" spans="1:2" x14ac:dyDescent="0.3">
      <c r="A605" s="101">
        <v>45014</v>
      </c>
      <c r="B605" s="102">
        <v>17080.7</v>
      </c>
    </row>
    <row r="606" spans="1:2" x14ac:dyDescent="0.3">
      <c r="A606" s="101">
        <v>45013</v>
      </c>
      <c r="B606" s="102">
        <v>16951.7</v>
      </c>
    </row>
    <row r="607" spans="1:2" x14ac:dyDescent="0.3">
      <c r="A607" s="101">
        <v>45012</v>
      </c>
      <c r="B607" s="102">
        <v>16985.7</v>
      </c>
    </row>
    <row r="608" spans="1:2" x14ac:dyDescent="0.3">
      <c r="A608" s="101">
        <v>45009</v>
      </c>
      <c r="B608" s="102">
        <v>16945.05</v>
      </c>
    </row>
    <row r="609" spans="1:2" x14ac:dyDescent="0.3">
      <c r="A609" s="101">
        <v>45008</v>
      </c>
      <c r="B609" s="102">
        <v>17076.900000000001</v>
      </c>
    </row>
    <row r="610" spans="1:2" x14ac:dyDescent="0.3">
      <c r="A610" s="101">
        <v>45007</v>
      </c>
      <c r="B610" s="102">
        <v>17151.900000000001</v>
      </c>
    </row>
    <row r="611" spans="1:2" x14ac:dyDescent="0.3">
      <c r="A611" s="101">
        <v>45006</v>
      </c>
      <c r="B611" s="102">
        <v>17107.5</v>
      </c>
    </row>
    <row r="612" spans="1:2" x14ac:dyDescent="0.3">
      <c r="A612" s="101">
        <v>45005</v>
      </c>
      <c r="B612" s="102">
        <v>16988.400000000001</v>
      </c>
    </row>
    <row r="613" spans="1:2" x14ac:dyDescent="0.3">
      <c r="A613" s="101">
        <v>45002</v>
      </c>
      <c r="B613" s="102">
        <v>17100.05</v>
      </c>
    </row>
    <row r="614" spans="1:2" x14ac:dyDescent="0.3">
      <c r="A614" s="101">
        <v>45001</v>
      </c>
      <c r="B614" s="102">
        <v>16985.599999999999</v>
      </c>
    </row>
    <row r="615" spans="1:2" x14ac:dyDescent="0.3">
      <c r="A615" s="101">
        <v>45000</v>
      </c>
      <c r="B615" s="102">
        <v>16972.150000000001</v>
      </c>
    </row>
    <row r="616" spans="1:2" x14ac:dyDescent="0.3">
      <c r="A616" s="101">
        <v>44999</v>
      </c>
      <c r="B616" s="102">
        <v>17043.3</v>
      </c>
    </row>
    <row r="617" spans="1:2" x14ac:dyDescent="0.3">
      <c r="A617" s="101">
        <v>44998</v>
      </c>
      <c r="B617" s="102">
        <v>17154.3</v>
      </c>
    </row>
    <row r="618" spans="1:2" x14ac:dyDescent="0.3">
      <c r="A618" s="101">
        <v>44995</v>
      </c>
      <c r="B618" s="102">
        <v>17412.900000000001</v>
      </c>
    </row>
    <row r="619" spans="1:2" x14ac:dyDescent="0.3">
      <c r="A619" s="101">
        <v>44994</v>
      </c>
      <c r="B619" s="102">
        <v>17589.599999999999</v>
      </c>
    </row>
    <row r="620" spans="1:2" x14ac:dyDescent="0.3">
      <c r="A620" s="101">
        <v>44993</v>
      </c>
      <c r="B620" s="102">
        <v>17754.400000000001</v>
      </c>
    </row>
    <row r="621" spans="1:2" x14ac:dyDescent="0.3">
      <c r="A621" s="101">
        <v>44991</v>
      </c>
      <c r="B621" s="102">
        <v>17711.45</v>
      </c>
    </row>
    <row r="622" spans="1:2" x14ac:dyDescent="0.3">
      <c r="A622" s="101">
        <v>44988</v>
      </c>
      <c r="B622" s="102">
        <v>17594.349999999999</v>
      </c>
    </row>
    <row r="623" spans="1:2" x14ac:dyDescent="0.3">
      <c r="A623" s="101">
        <v>44987</v>
      </c>
      <c r="B623" s="102">
        <v>17321.900000000001</v>
      </c>
    </row>
    <row r="624" spans="1:2" x14ac:dyDescent="0.3">
      <c r="A624" s="101">
        <v>44986</v>
      </c>
      <c r="B624" s="102">
        <v>17450.900000000001</v>
      </c>
    </row>
    <row r="625" spans="1:2" x14ac:dyDescent="0.3">
      <c r="A625" s="101">
        <v>44985</v>
      </c>
      <c r="B625" s="102">
        <v>17303.95</v>
      </c>
    </row>
    <row r="626" spans="1:2" x14ac:dyDescent="0.3">
      <c r="A626" s="101">
        <v>44984</v>
      </c>
      <c r="B626" s="102">
        <v>17392.7</v>
      </c>
    </row>
    <row r="627" spans="1:2" x14ac:dyDescent="0.3">
      <c r="A627" s="101">
        <v>44981</v>
      </c>
      <c r="B627" s="102">
        <v>17465.8</v>
      </c>
    </row>
    <row r="628" spans="1:2" x14ac:dyDescent="0.3">
      <c r="A628" s="101">
        <v>44980</v>
      </c>
      <c r="B628" s="102">
        <v>17511.25</v>
      </c>
    </row>
    <row r="629" spans="1:2" x14ac:dyDescent="0.3">
      <c r="A629" s="101">
        <v>44979</v>
      </c>
      <c r="B629" s="102">
        <v>17554.3</v>
      </c>
    </row>
    <row r="630" spans="1:2" x14ac:dyDescent="0.3">
      <c r="A630" s="101">
        <v>44978</v>
      </c>
      <c r="B630" s="102">
        <v>17826.7</v>
      </c>
    </row>
    <row r="631" spans="1:2" x14ac:dyDescent="0.3">
      <c r="A631" s="101">
        <v>44977</v>
      </c>
      <c r="B631" s="102">
        <v>17844.599999999999</v>
      </c>
    </row>
    <row r="632" spans="1:2" x14ac:dyDescent="0.3">
      <c r="A632" s="101">
        <v>44974</v>
      </c>
      <c r="B632" s="102">
        <v>17944.2</v>
      </c>
    </row>
    <row r="633" spans="1:2" x14ac:dyDescent="0.3">
      <c r="A633" s="101">
        <v>44973</v>
      </c>
      <c r="B633" s="102">
        <v>18035.849999999999</v>
      </c>
    </row>
    <row r="634" spans="1:2" x14ac:dyDescent="0.3">
      <c r="A634" s="101">
        <v>44972</v>
      </c>
      <c r="B634" s="102">
        <v>18015.849999999999</v>
      </c>
    </row>
    <row r="635" spans="1:2" x14ac:dyDescent="0.3">
      <c r="A635" s="101">
        <v>44971</v>
      </c>
      <c r="B635" s="102">
        <v>17929.849999999999</v>
      </c>
    </row>
    <row r="636" spans="1:2" x14ac:dyDescent="0.3">
      <c r="A636" s="101">
        <v>44970</v>
      </c>
      <c r="B636" s="102">
        <v>17770.900000000001</v>
      </c>
    </row>
    <row r="637" spans="1:2" x14ac:dyDescent="0.3">
      <c r="A637" s="101">
        <v>44967</v>
      </c>
      <c r="B637" s="102">
        <v>17856.5</v>
      </c>
    </row>
    <row r="638" spans="1:2" x14ac:dyDescent="0.3">
      <c r="A638" s="101">
        <v>44966</v>
      </c>
      <c r="B638" s="102">
        <v>17893.45</v>
      </c>
    </row>
    <row r="639" spans="1:2" x14ac:dyDescent="0.3">
      <c r="A639" s="101">
        <v>44965</v>
      </c>
      <c r="B639" s="102">
        <v>17871.7</v>
      </c>
    </row>
    <row r="640" spans="1:2" x14ac:dyDescent="0.3">
      <c r="A640" s="101">
        <v>44964</v>
      </c>
      <c r="B640" s="102">
        <v>17721.5</v>
      </c>
    </row>
    <row r="641" spans="1:2" x14ac:dyDescent="0.3">
      <c r="A641" s="101">
        <v>44963</v>
      </c>
      <c r="B641" s="102">
        <v>17764.599999999999</v>
      </c>
    </row>
    <row r="642" spans="1:2" x14ac:dyDescent="0.3">
      <c r="A642" s="101">
        <v>44960</v>
      </c>
      <c r="B642" s="102">
        <v>17854.05</v>
      </c>
    </row>
    <row r="643" spans="1:2" x14ac:dyDescent="0.3">
      <c r="A643" s="101">
        <v>44959</v>
      </c>
      <c r="B643" s="102">
        <v>17610.400000000001</v>
      </c>
    </row>
    <row r="644" spans="1:2" x14ac:dyDescent="0.3">
      <c r="A644" s="101">
        <v>44958</v>
      </c>
      <c r="B644" s="102">
        <v>17616.3</v>
      </c>
    </row>
    <row r="645" spans="1:2" x14ac:dyDescent="0.3">
      <c r="A645" s="101">
        <v>44957</v>
      </c>
      <c r="B645" s="102">
        <v>17662.150000000001</v>
      </c>
    </row>
    <row r="646" spans="1:2" x14ac:dyDescent="0.3">
      <c r="A646" s="101">
        <v>44956</v>
      </c>
      <c r="B646" s="102">
        <v>17648.95</v>
      </c>
    </row>
    <row r="647" spans="1:2" x14ac:dyDescent="0.3">
      <c r="A647" s="101">
        <v>44953</v>
      </c>
      <c r="B647" s="102">
        <v>17604.349999999999</v>
      </c>
    </row>
    <row r="648" spans="1:2" x14ac:dyDescent="0.3">
      <c r="A648" s="101">
        <v>44951</v>
      </c>
      <c r="B648" s="102">
        <v>17891.95</v>
      </c>
    </row>
    <row r="649" spans="1:2" x14ac:dyDescent="0.3">
      <c r="A649" s="101">
        <v>44950</v>
      </c>
      <c r="B649" s="102">
        <v>18118.3</v>
      </c>
    </row>
    <row r="650" spans="1:2" x14ac:dyDescent="0.3">
      <c r="A650" s="101">
        <v>44949</v>
      </c>
      <c r="B650" s="102">
        <v>18118.55</v>
      </c>
    </row>
    <row r="651" spans="1:2" x14ac:dyDescent="0.3">
      <c r="A651" s="101">
        <v>44946</v>
      </c>
      <c r="B651" s="102">
        <v>18027.650000000001</v>
      </c>
    </row>
    <row r="652" spans="1:2" x14ac:dyDescent="0.3">
      <c r="A652" s="101">
        <v>44945</v>
      </c>
      <c r="B652" s="102">
        <v>18107.849999999999</v>
      </c>
    </row>
    <row r="653" spans="1:2" x14ac:dyDescent="0.3">
      <c r="A653" s="101">
        <v>44944</v>
      </c>
      <c r="B653" s="102">
        <v>18165.349999999999</v>
      </c>
    </row>
    <row r="654" spans="1:2" x14ac:dyDescent="0.3">
      <c r="A654" s="101">
        <v>44943</v>
      </c>
      <c r="B654" s="102">
        <v>18053.3</v>
      </c>
    </row>
    <row r="655" spans="1:2" x14ac:dyDescent="0.3">
      <c r="A655" s="101">
        <v>44942</v>
      </c>
      <c r="B655" s="102">
        <v>17894.849999999999</v>
      </c>
    </row>
    <row r="656" spans="1:2" x14ac:dyDescent="0.3">
      <c r="A656" s="101">
        <v>44939</v>
      </c>
      <c r="B656" s="102">
        <v>17956.599999999999</v>
      </c>
    </row>
    <row r="657" spans="1:2" x14ac:dyDescent="0.3">
      <c r="A657" s="101">
        <v>44938</v>
      </c>
      <c r="B657" s="102">
        <v>17858.2</v>
      </c>
    </row>
    <row r="658" spans="1:2" x14ac:dyDescent="0.3">
      <c r="A658" s="101">
        <v>44937</v>
      </c>
      <c r="B658" s="102">
        <v>17895.7</v>
      </c>
    </row>
    <row r="659" spans="1:2" x14ac:dyDescent="0.3">
      <c r="A659" s="101">
        <v>44936</v>
      </c>
      <c r="B659" s="102">
        <v>17914.150000000001</v>
      </c>
    </row>
    <row r="660" spans="1:2" x14ac:dyDescent="0.3">
      <c r="A660" s="101">
        <v>44935</v>
      </c>
      <c r="B660" s="102">
        <v>18101.2</v>
      </c>
    </row>
    <row r="661" spans="1:2" x14ac:dyDescent="0.3">
      <c r="A661" s="101">
        <v>44932</v>
      </c>
      <c r="B661" s="102">
        <v>17859.45</v>
      </c>
    </row>
    <row r="662" spans="1:2" x14ac:dyDescent="0.3">
      <c r="A662" s="101">
        <v>44931</v>
      </c>
      <c r="B662" s="102">
        <v>17992.150000000001</v>
      </c>
    </row>
    <row r="663" spans="1:2" x14ac:dyDescent="0.3">
      <c r="A663" s="101">
        <v>44930</v>
      </c>
      <c r="B663" s="102">
        <v>18042.95</v>
      </c>
    </row>
    <row r="664" spans="1:2" x14ac:dyDescent="0.3">
      <c r="A664" s="101">
        <v>44929</v>
      </c>
      <c r="B664" s="102">
        <v>18232.55</v>
      </c>
    </row>
    <row r="665" spans="1:2" x14ac:dyDescent="0.3">
      <c r="A665" s="101">
        <v>44928</v>
      </c>
      <c r="B665" s="102">
        <v>18197.45</v>
      </c>
    </row>
    <row r="666" spans="1:2" x14ac:dyDescent="0.3">
      <c r="A666" s="101">
        <v>44925</v>
      </c>
      <c r="B666" s="102">
        <v>18105.3</v>
      </c>
    </row>
    <row r="667" spans="1:2" x14ac:dyDescent="0.3">
      <c r="A667" s="101">
        <v>44924</v>
      </c>
      <c r="B667" s="102">
        <v>18191</v>
      </c>
    </row>
    <row r="668" spans="1:2" x14ac:dyDescent="0.3">
      <c r="A668" s="101">
        <v>44923</v>
      </c>
      <c r="B668" s="102">
        <v>18122.5</v>
      </c>
    </row>
    <row r="669" spans="1:2" x14ac:dyDescent="0.3">
      <c r="A669" s="101">
        <v>44922</v>
      </c>
      <c r="B669" s="102">
        <v>18132.3</v>
      </c>
    </row>
    <row r="670" spans="1:2" x14ac:dyDescent="0.3">
      <c r="A670" s="101">
        <v>44921</v>
      </c>
      <c r="B670" s="102">
        <v>18014.599999999999</v>
      </c>
    </row>
    <row r="671" spans="1:2" x14ac:dyDescent="0.3">
      <c r="A671" s="101">
        <v>44918</v>
      </c>
      <c r="B671" s="102">
        <v>17806.8</v>
      </c>
    </row>
    <row r="672" spans="1:2" x14ac:dyDescent="0.3">
      <c r="A672" s="101">
        <v>44917</v>
      </c>
      <c r="B672" s="102">
        <v>18127.349999999999</v>
      </c>
    </row>
    <row r="673" spans="1:2" x14ac:dyDescent="0.3">
      <c r="A673" s="101">
        <v>44916</v>
      </c>
      <c r="B673" s="102">
        <v>18199.099999999999</v>
      </c>
    </row>
    <row r="674" spans="1:2" x14ac:dyDescent="0.3">
      <c r="A674" s="101">
        <v>44915</v>
      </c>
      <c r="B674" s="102">
        <v>18385.3</v>
      </c>
    </row>
    <row r="675" spans="1:2" x14ac:dyDescent="0.3">
      <c r="A675" s="101">
        <v>44914</v>
      </c>
      <c r="B675" s="102">
        <v>18420.45</v>
      </c>
    </row>
    <row r="676" spans="1:2" x14ac:dyDescent="0.3">
      <c r="A676" s="101">
        <v>44911</v>
      </c>
      <c r="B676" s="102">
        <v>18269</v>
      </c>
    </row>
    <row r="677" spans="1:2" x14ac:dyDescent="0.3">
      <c r="A677" s="101">
        <v>44910</v>
      </c>
      <c r="B677" s="102">
        <v>18414.900000000001</v>
      </c>
    </row>
    <row r="678" spans="1:2" x14ac:dyDescent="0.3">
      <c r="A678" s="101">
        <v>44909</v>
      </c>
      <c r="B678" s="102">
        <v>18660.3</v>
      </c>
    </row>
    <row r="679" spans="1:2" x14ac:dyDescent="0.3">
      <c r="A679" s="101">
        <v>44908</v>
      </c>
      <c r="B679" s="102">
        <v>18608</v>
      </c>
    </row>
    <row r="680" spans="1:2" x14ac:dyDescent="0.3">
      <c r="A680" s="101">
        <v>44907</v>
      </c>
      <c r="B680" s="102">
        <v>18497.150000000001</v>
      </c>
    </row>
    <row r="681" spans="1:2" x14ac:dyDescent="0.3">
      <c r="A681" s="101">
        <v>44904</v>
      </c>
      <c r="B681" s="102">
        <v>18496.599999999999</v>
      </c>
    </row>
    <row r="682" spans="1:2" x14ac:dyDescent="0.3">
      <c r="A682" s="101">
        <v>44903</v>
      </c>
      <c r="B682" s="102">
        <v>18609.349999999999</v>
      </c>
    </row>
    <row r="683" spans="1:2" x14ac:dyDescent="0.3">
      <c r="A683" s="101">
        <v>44902</v>
      </c>
      <c r="B683" s="102">
        <v>18560.5</v>
      </c>
    </row>
    <row r="684" spans="1:2" x14ac:dyDescent="0.3">
      <c r="A684" s="101">
        <v>44901</v>
      </c>
      <c r="B684" s="102">
        <v>18642.75</v>
      </c>
    </row>
    <row r="685" spans="1:2" x14ac:dyDescent="0.3">
      <c r="A685" s="101">
        <v>44900</v>
      </c>
      <c r="B685" s="102">
        <v>18701.05</v>
      </c>
    </row>
    <row r="686" spans="1:2" x14ac:dyDescent="0.3">
      <c r="A686" s="101">
        <v>44897</v>
      </c>
      <c r="B686" s="102">
        <v>18696.099999999999</v>
      </c>
    </row>
    <row r="687" spans="1:2" x14ac:dyDescent="0.3">
      <c r="A687" s="101">
        <v>44896</v>
      </c>
      <c r="B687" s="102">
        <v>18812.5</v>
      </c>
    </row>
    <row r="688" spans="1:2" x14ac:dyDescent="0.3">
      <c r="A688" s="101">
        <v>44895</v>
      </c>
      <c r="B688" s="102">
        <v>18758.349999999999</v>
      </c>
    </row>
    <row r="689" spans="1:2" x14ac:dyDescent="0.3">
      <c r="A689" s="101">
        <v>44894</v>
      </c>
      <c r="B689" s="102">
        <v>18618.05</v>
      </c>
    </row>
    <row r="690" spans="1:2" x14ac:dyDescent="0.3">
      <c r="A690" s="101">
        <v>44893</v>
      </c>
      <c r="B690" s="102">
        <v>18562.75</v>
      </c>
    </row>
    <row r="691" spans="1:2" x14ac:dyDescent="0.3">
      <c r="A691" s="101">
        <v>44890</v>
      </c>
      <c r="B691" s="102">
        <v>18512.75</v>
      </c>
    </row>
    <row r="692" spans="1:2" x14ac:dyDescent="0.3">
      <c r="A692" s="101">
        <v>44889</v>
      </c>
      <c r="B692" s="102">
        <v>18484.099999999999</v>
      </c>
    </row>
    <row r="693" spans="1:2" x14ac:dyDescent="0.3">
      <c r="A693" s="101">
        <v>44888</v>
      </c>
      <c r="B693" s="102">
        <v>18267.25</v>
      </c>
    </row>
    <row r="694" spans="1:2" x14ac:dyDescent="0.3">
      <c r="A694" s="101">
        <v>44887</v>
      </c>
      <c r="B694" s="102">
        <v>18244.2</v>
      </c>
    </row>
    <row r="695" spans="1:2" x14ac:dyDescent="0.3">
      <c r="A695" s="101">
        <v>44886</v>
      </c>
      <c r="B695" s="102">
        <v>18159.95</v>
      </c>
    </row>
    <row r="696" spans="1:2" x14ac:dyDescent="0.3">
      <c r="A696" s="101">
        <v>44883</v>
      </c>
      <c r="B696" s="102">
        <v>18307.650000000001</v>
      </c>
    </row>
    <row r="697" spans="1:2" x14ac:dyDescent="0.3">
      <c r="A697" s="101">
        <v>44882</v>
      </c>
      <c r="B697" s="102">
        <v>18343.900000000001</v>
      </c>
    </row>
    <row r="698" spans="1:2" x14ac:dyDescent="0.3">
      <c r="A698" s="101">
        <v>44881</v>
      </c>
      <c r="B698" s="102">
        <v>18409.650000000001</v>
      </c>
    </row>
    <row r="699" spans="1:2" x14ac:dyDescent="0.3">
      <c r="A699" s="101">
        <v>44880</v>
      </c>
      <c r="B699" s="102">
        <v>18403.400000000001</v>
      </c>
    </row>
    <row r="700" spans="1:2" x14ac:dyDescent="0.3">
      <c r="A700" s="101">
        <v>44879</v>
      </c>
      <c r="B700" s="102">
        <v>18329.150000000001</v>
      </c>
    </row>
    <row r="701" spans="1:2" x14ac:dyDescent="0.3">
      <c r="A701" s="101">
        <v>44876</v>
      </c>
      <c r="B701" s="102">
        <v>18349.7</v>
      </c>
    </row>
    <row r="702" spans="1:2" x14ac:dyDescent="0.3">
      <c r="A702" s="101">
        <v>44875</v>
      </c>
      <c r="B702" s="102">
        <v>18028.2</v>
      </c>
    </row>
    <row r="703" spans="1:2" x14ac:dyDescent="0.3">
      <c r="A703" s="101">
        <v>44874</v>
      </c>
      <c r="B703" s="102">
        <v>18157</v>
      </c>
    </row>
    <row r="704" spans="1:2" x14ac:dyDescent="0.3">
      <c r="A704" s="101">
        <v>44872</v>
      </c>
      <c r="B704" s="102">
        <v>18202.8</v>
      </c>
    </row>
    <row r="705" spans="1:2" x14ac:dyDescent="0.3">
      <c r="A705" s="101">
        <v>44869</v>
      </c>
      <c r="B705" s="102">
        <v>18117.150000000001</v>
      </c>
    </row>
    <row r="706" spans="1:2" x14ac:dyDescent="0.3">
      <c r="A706" s="101">
        <v>44868</v>
      </c>
      <c r="B706" s="102">
        <v>18052.7</v>
      </c>
    </row>
    <row r="707" spans="1:2" x14ac:dyDescent="0.3">
      <c r="A707" s="101">
        <v>44867</v>
      </c>
      <c r="B707" s="102">
        <v>18082.849999999999</v>
      </c>
    </row>
    <row r="708" spans="1:2" x14ac:dyDescent="0.3">
      <c r="A708" s="101">
        <v>44866</v>
      </c>
      <c r="B708" s="102">
        <v>18145.400000000001</v>
      </c>
    </row>
    <row r="709" spans="1:2" x14ac:dyDescent="0.3">
      <c r="A709" s="101">
        <v>44865</v>
      </c>
      <c r="B709" s="102">
        <v>18012.2</v>
      </c>
    </row>
    <row r="710" spans="1:2" x14ac:dyDescent="0.3">
      <c r="A710" s="101">
        <v>44862</v>
      </c>
      <c r="B710" s="102">
        <v>17786.8</v>
      </c>
    </row>
    <row r="711" spans="1:2" x14ac:dyDescent="0.3">
      <c r="A711" s="101">
        <v>44861</v>
      </c>
      <c r="B711" s="102">
        <v>17736.95</v>
      </c>
    </row>
    <row r="712" spans="1:2" x14ac:dyDescent="0.3">
      <c r="A712" s="101">
        <v>44859</v>
      </c>
      <c r="B712" s="102">
        <v>17656.349999999999</v>
      </c>
    </row>
    <row r="713" spans="1:2" x14ac:dyDescent="0.3">
      <c r="A713" s="101">
        <v>44858</v>
      </c>
      <c r="B713" s="102">
        <v>17730.75</v>
      </c>
    </row>
    <row r="714" spans="1:2" x14ac:dyDescent="0.3">
      <c r="A714" s="101">
        <v>44855</v>
      </c>
      <c r="B714" s="102">
        <v>17576.3</v>
      </c>
    </row>
    <row r="715" spans="1:2" x14ac:dyDescent="0.3">
      <c r="A715" s="101">
        <v>44854</v>
      </c>
      <c r="B715" s="102">
        <v>17563.95</v>
      </c>
    </row>
    <row r="716" spans="1:2" x14ac:dyDescent="0.3">
      <c r="A716" s="101">
        <v>44853</v>
      </c>
      <c r="B716" s="102">
        <v>17512.25</v>
      </c>
    </row>
    <row r="717" spans="1:2" x14ac:dyDescent="0.3">
      <c r="A717" s="101">
        <v>44852</v>
      </c>
      <c r="B717" s="102">
        <v>17486.95</v>
      </c>
    </row>
    <row r="718" spans="1:2" x14ac:dyDescent="0.3">
      <c r="A718" s="101">
        <v>44851</v>
      </c>
      <c r="B718" s="102">
        <v>17311.8</v>
      </c>
    </row>
    <row r="719" spans="1:2" x14ac:dyDescent="0.3">
      <c r="A719" s="101">
        <v>44848</v>
      </c>
      <c r="B719" s="102">
        <v>17185.7</v>
      </c>
    </row>
    <row r="720" spans="1:2" x14ac:dyDescent="0.3">
      <c r="A720" s="101">
        <v>44847</v>
      </c>
      <c r="B720" s="102">
        <v>17014.349999999999</v>
      </c>
    </row>
    <row r="721" spans="1:2" x14ac:dyDescent="0.3">
      <c r="A721" s="101">
        <v>44846</v>
      </c>
      <c r="B721" s="102">
        <v>17123.599999999999</v>
      </c>
    </row>
    <row r="722" spans="1:2" x14ac:dyDescent="0.3">
      <c r="A722" s="101">
        <v>44845</v>
      </c>
      <c r="B722" s="102">
        <v>16983.55</v>
      </c>
    </row>
    <row r="723" spans="1:2" x14ac:dyDescent="0.3">
      <c r="A723" s="101">
        <v>44844</v>
      </c>
      <c r="B723" s="102">
        <v>17241</v>
      </c>
    </row>
    <row r="724" spans="1:2" x14ac:dyDescent="0.3">
      <c r="A724" s="101">
        <v>44841</v>
      </c>
      <c r="B724" s="102">
        <v>17314.650000000001</v>
      </c>
    </row>
    <row r="725" spans="1:2" x14ac:dyDescent="0.3">
      <c r="A725" s="101">
        <v>44840</v>
      </c>
      <c r="B725" s="102">
        <v>17331.8</v>
      </c>
    </row>
    <row r="726" spans="1:2" x14ac:dyDescent="0.3">
      <c r="A726" s="101">
        <v>44838</v>
      </c>
      <c r="B726" s="102">
        <v>17274.3</v>
      </c>
    </row>
    <row r="727" spans="1:2" x14ac:dyDescent="0.3">
      <c r="A727" s="101">
        <v>44837</v>
      </c>
      <c r="B727" s="102">
        <v>16887.349999999999</v>
      </c>
    </row>
    <row r="728" spans="1:2" x14ac:dyDescent="0.3">
      <c r="A728" s="101">
        <v>44834</v>
      </c>
      <c r="B728" s="102">
        <v>17094.349999999999</v>
      </c>
    </row>
    <row r="729" spans="1:2" x14ac:dyDescent="0.3">
      <c r="A729" s="101">
        <v>44833</v>
      </c>
      <c r="B729" s="102">
        <v>16818.099999999999</v>
      </c>
    </row>
    <row r="730" spans="1:2" x14ac:dyDescent="0.3">
      <c r="A730" s="101">
        <v>44832</v>
      </c>
      <c r="B730" s="102">
        <v>16858.599999999999</v>
      </c>
    </row>
    <row r="731" spans="1:2" x14ac:dyDescent="0.3">
      <c r="A731" s="101">
        <v>44831</v>
      </c>
      <c r="B731" s="102">
        <v>17007.400000000001</v>
      </c>
    </row>
    <row r="732" spans="1:2" x14ac:dyDescent="0.3">
      <c r="A732" s="101">
        <v>44830</v>
      </c>
      <c r="B732" s="102">
        <v>17016.3</v>
      </c>
    </row>
    <row r="733" spans="1:2" x14ac:dyDescent="0.3">
      <c r="A733" s="101">
        <v>44827</v>
      </c>
      <c r="B733" s="102">
        <v>17327.349999999999</v>
      </c>
    </row>
    <row r="734" spans="1:2" x14ac:dyDescent="0.3">
      <c r="A734" s="101">
        <v>44826</v>
      </c>
      <c r="B734" s="102">
        <v>17629.8</v>
      </c>
    </row>
    <row r="735" spans="1:2" x14ac:dyDescent="0.3">
      <c r="A735" s="101">
        <v>44825</v>
      </c>
      <c r="B735" s="102">
        <v>17718.349999999999</v>
      </c>
    </row>
    <row r="736" spans="1:2" x14ac:dyDescent="0.3">
      <c r="A736" s="101">
        <v>44824</v>
      </c>
      <c r="B736" s="102">
        <v>17816.25</v>
      </c>
    </row>
    <row r="737" spans="1:2" x14ac:dyDescent="0.3">
      <c r="A737" s="101">
        <v>44823</v>
      </c>
      <c r="B737" s="102">
        <v>17622.25</v>
      </c>
    </row>
    <row r="738" spans="1:2" x14ac:dyDescent="0.3">
      <c r="A738" s="101">
        <v>44820</v>
      </c>
      <c r="B738" s="102">
        <v>17530.849999999999</v>
      </c>
    </row>
    <row r="739" spans="1:2" x14ac:dyDescent="0.3">
      <c r="A739" s="101">
        <v>44819</v>
      </c>
      <c r="B739" s="102">
        <v>17877.400000000001</v>
      </c>
    </row>
    <row r="740" spans="1:2" x14ac:dyDescent="0.3">
      <c r="A740" s="101">
        <v>44818</v>
      </c>
      <c r="B740" s="102">
        <v>18003.75</v>
      </c>
    </row>
    <row r="741" spans="1:2" x14ac:dyDescent="0.3">
      <c r="A741" s="101">
        <v>44817</v>
      </c>
      <c r="B741" s="102">
        <v>18070.05</v>
      </c>
    </row>
    <row r="742" spans="1:2" x14ac:dyDescent="0.3">
      <c r="A742" s="101">
        <v>44816</v>
      </c>
      <c r="B742" s="102">
        <v>17936.349999999999</v>
      </c>
    </row>
    <row r="743" spans="1:2" x14ac:dyDescent="0.3">
      <c r="A743" s="101">
        <v>44813</v>
      </c>
      <c r="B743" s="102">
        <v>17833.349999999999</v>
      </c>
    </row>
    <row r="744" spans="1:2" x14ac:dyDescent="0.3">
      <c r="A744" s="101">
        <v>44812</v>
      </c>
      <c r="B744" s="102">
        <v>17798.75</v>
      </c>
    </row>
    <row r="745" spans="1:2" x14ac:dyDescent="0.3">
      <c r="A745" s="101">
        <v>44811</v>
      </c>
      <c r="B745" s="102">
        <v>17624.400000000001</v>
      </c>
    </row>
    <row r="746" spans="1:2" x14ac:dyDescent="0.3">
      <c r="A746" s="101">
        <v>44810</v>
      </c>
      <c r="B746" s="102">
        <v>17655.599999999999</v>
      </c>
    </row>
    <row r="747" spans="1:2" x14ac:dyDescent="0.3">
      <c r="A747" s="101">
        <v>44809</v>
      </c>
      <c r="B747" s="102">
        <v>17665.8</v>
      </c>
    </row>
    <row r="748" spans="1:2" x14ac:dyDescent="0.3">
      <c r="A748" s="101">
        <v>44806</v>
      </c>
      <c r="B748" s="102">
        <v>17539.45</v>
      </c>
    </row>
    <row r="749" spans="1:2" x14ac:dyDescent="0.3">
      <c r="A749" s="101">
        <v>44805</v>
      </c>
      <c r="B749" s="102">
        <v>17542.8</v>
      </c>
    </row>
    <row r="750" spans="1:2" x14ac:dyDescent="0.3">
      <c r="A750" s="101">
        <v>44803</v>
      </c>
      <c r="B750" s="102">
        <v>17759.3</v>
      </c>
    </row>
    <row r="751" spans="1:2" x14ac:dyDescent="0.3">
      <c r="A751" s="101">
        <v>44802</v>
      </c>
      <c r="B751" s="102">
        <v>17312.900000000001</v>
      </c>
    </row>
    <row r="752" spans="1:2" x14ac:dyDescent="0.3">
      <c r="A752" s="101">
        <v>44799</v>
      </c>
      <c r="B752" s="102">
        <v>17558.900000000001</v>
      </c>
    </row>
    <row r="753" spans="1:2" x14ac:dyDescent="0.3">
      <c r="A753" s="101">
        <v>44798</v>
      </c>
      <c r="B753" s="102">
        <v>17522.45</v>
      </c>
    </row>
    <row r="754" spans="1:2" x14ac:dyDescent="0.3">
      <c r="A754" s="101">
        <v>44797</v>
      </c>
      <c r="B754" s="102">
        <v>17604.95</v>
      </c>
    </row>
    <row r="755" spans="1:2" x14ac:dyDescent="0.3">
      <c r="A755" s="101">
        <v>44796</v>
      </c>
      <c r="B755" s="102">
        <v>17577.5</v>
      </c>
    </row>
    <row r="756" spans="1:2" x14ac:dyDescent="0.3">
      <c r="A756" s="101">
        <v>44795</v>
      </c>
      <c r="B756" s="102">
        <v>17490.7</v>
      </c>
    </row>
    <row r="757" spans="1:2" x14ac:dyDescent="0.3">
      <c r="A757" s="101">
        <v>44792</v>
      </c>
      <c r="B757" s="102">
        <v>17758.45</v>
      </c>
    </row>
    <row r="758" spans="1:2" x14ac:dyDescent="0.3">
      <c r="A758" s="101">
        <v>44791</v>
      </c>
      <c r="B758" s="102">
        <v>17956.5</v>
      </c>
    </row>
    <row r="759" spans="1:2" x14ac:dyDescent="0.3">
      <c r="A759" s="101">
        <v>44790</v>
      </c>
      <c r="B759" s="102">
        <v>17944.25</v>
      </c>
    </row>
    <row r="760" spans="1:2" x14ac:dyDescent="0.3">
      <c r="A760" s="101">
        <v>44789</v>
      </c>
      <c r="B760" s="102">
        <v>17825.25</v>
      </c>
    </row>
    <row r="761" spans="1:2" x14ac:dyDescent="0.3">
      <c r="A761" s="101">
        <v>44785</v>
      </c>
      <c r="B761" s="102">
        <v>17698.150000000001</v>
      </c>
    </row>
    <row r="762" spans="1:2" x14ac:dyDescent="0.3">
      <c r="A762" s="101">
        <v>44784</v>
      </c>
      <c r="B762" s="102">
        <v>17659</v>
      </c>
    </row>
    <row r="763" spans="1:2" x14ac:dyDescent="0.3">
      <c r="A763" s="101">
        <v>44783</v>
      </c>
      <c r="B763" s="102">
        <v>17534.75</v>
      </c>
    </row>
    <row r="764" spans="1:2" x14ac:dyDescent="0.3">
      <c r="A764" s="101">
        <v>44781</v>
      </c>
      <c r="B764" s="102">
        <v>17525.099999999999</v>
      </c>
    </row>
    <row r="765" spans="1:2" x14ac:dyDescent="0.3">
      <c r="A765" s="101">
        <v>44778</v>
      </c>
      <c r="B765" s="102">
        <v>17397.5</v>
      </c>
    </row>
    <row r="766" spans="1:2" x14ac:dyDescent="0.3">
      <c r="A766" s="101">
        <v>44777</v>
      </c>
      <c r="B766" s="102">
        <v>17382</v>
      </c>
    </row>
    <row r="767" spans="1:2" x14ac:dyDescent="0.3">
      <c r="A767" s="101">
        <v>44776</v>
      </c>
      <c r="B767" s="102">
        <v>17388.150000000001</v>
      </c>
    </row>
    <row r="768" spans="1:2" x14ac:dyDescent="0.3">
      <c r="A768" s="101">
        <v>44775</v>
      </c>
      <c r="B768" s="102">
        <v>17345.45</v>
      </c>
    </row>
    <row r="769" spans="1:2" x14ac:dyDescent="0.3">
      <c r="A769" s="101">
        <v>44774</v>
      </c>
      <c r="B769" s="102">
        <v>17340.05</v>
      </c>
    </row>
    <row r="770" spans="1:2" x14ac:dyDescent="0.3">
      <c r="A770" s="101">
        <v>44771</v>
      </c>
      <c r="B770" s="102">
        <v>17158.25</v>
      </c>
    </row>
    <row r="771" spans="1:2" x14ac:dyDescent="0.3">
      <c r="A771" s="101">
        <v>44770</v>
      </c>
      <c r="B771" s="102">
        <v>16929.599999999999</v>
      </c>
    </row>
    <row r="772" spans="1:2" x14ac:dyDescent="0.3">
      <c r="A772" s="101">
        <v>44769</v>
      </c>
      <c r="B772" s="102">
        <v>16641.8</v>
      </c>
    </row>
    <row r="773" spans="1:2" x14ac:dyDescent="0.3">
      <c r="A773" s="101">
        <v>44768</v>
      </c>
      <c r="B773" s="102">
        <v>16483.849999999999</v>
      </c>
    </row>
    <row r="774" spans="1:2" x14ac:dyDescent="0.3">
      <c r="A774" s="101">
        <v>44767</v>
      </c>
      <c r="B774" s="102">
        <v>16631</v>
      </c>
    </row>
    <row r="775" spans="1:2" x14ac:dyDescent="0.3">
      <c r="A775" s="101">
        <v>44764</v>
      </c>
      <c r="B775" s="102">
        <v>16719.45</v>
      </c>
    </row>
    <row r="776" spans="1:2" x14ac:dyDescent="0.3">
      <c r="A776" s="101">
        <v>44763</v>
      </c>
      <c r="B776" s="102">
        <v>16605.25</v>
      </c>
    </row>
    <row r="777" spans="1:2" x14ac:dyDescent="0.3">
      <c r="A777" s="101">
        <v>44762</v>
      </c>
      <c r="B777" s="102">
        <v>16520.849999999999</v>
      </c>
    </row>
    <row r="778" spans="1:2" x14ac:dyDescent="0.3">
      <c r="A778" s="101">
        <v>44761</v>
      </c>
      <c r="B778" s="102">
        <v>16340.55</v>
      </c>
    </row>
    <row r="779" spans="1:2" x14ac:dyDescent="0.3">
      <c r="A779" s="101">
        <v>44760</v>
      </c>
      <c r="B779" s="102">
        <v>16278.5</v>
      </c>
    </row>
    <row r="780" spans="1:2" x14ac:dyDescent="0.3">
      <c r="A780" s="101">
        <v>44757</v>
      </c>
      <c r="B780" s="102">
        <v>16049.2</v>
      </c>
    </row>
    <row r="781" spans="1:2" x14ac:dyDescent="0.3">
      <c r="A781" s="101">
        <v>44756</v>
      </c>
      <c r="B781" s="102">
        <v>15938.65</v>
      </c>
    </row>
    <row r="782" spans="1:2" x14ac:dyDescent="0.3">
      <c r="A782" s="101">
        <v>44755</v>
      </c>
      <c r="B782" s="102">
        <v>15966.65</v>
      </c>
    </row>
    <row r="783" spans="1:2" x14ac:dyDescent="0.3">
      <c r="A783" s="101">
        <v>44754</v>
      </c>
      <c r="B783" s="102">
        <v>16058.3</v>
      </c>
    </row>
    <row r="784" spans="1:2" x14ac:dyDescent="0.3">
      <c r="A784" s="101">
        <v>44753</v>
      </c>
      <c r="B784" s="102">
        <v>16216</v>
      </c>
    </row>
    <row r="785" spans="1:2" x14ac:dyDescent="0.3">
      <c r="A785" s="101">
        <v>44750</v>
      </c>
      <c r="B785" s="102">
        <v>16220.6</v>
      </c>
    </row>
    <row r="786" spans="1:2" x14ac:dyDescent="0.3">
      <c r="A786" s="101">
        <v>44749</v>
      </c>
      <c r="B786" s="102">
        <v>16132.9</v>
      </c>
    </row>
    <row r="787" spans="1:2" x14ac:dyDescent="0.3">
      <c r="A787" s="101">
        <v>44748</v>
      </c>
      <c r="B787" s="102">
        <v>15989.8</v>
      </c>
    </row>
    <row r="788" spans="1:2" x14ac:dyDescent="0.3">
      <c r="A788" s="101">
        <v>44747</v>
      </c>
      <c r="B788" s="102">
        <v>15810.85</v>
      </c>
    </row>
    <row r="789" spans="1:2" x14ac:dyDescent="0.3">
      <c r="A789" s="101">
        <v>44746</v>
      </c>
      <c r="B789" s="102">
        <v>15835.35</v>
      </c>
    </row>
    <row r="790" spans="1:2" x14ac:dyDescent="0.3">
      <c r="A790" s="101">
        <v>44743</v>
      </c>
      <c r="B790" s="102">
        <v>15752.05</v>
      </c>
    </row>
    <row r="791" spans="1:2" x14ac:dyDescent="0.3">
      <c r="A791" s="101">
        <v>44742</v>
      </c>
      <c r="B791" s="102">
        <v>15780.25</v>
      </c>
    </row>
    <row r="792" spans="1:2" x14ac:dyDescent="0.3">
      <c r="A792" s="101">
        <v>44741</v>
      </c>
      <c r="B792" s="102">
        <v>15799.1</v>
      </c>
    </row>
    <row r="793" spans="1:2" x14ac:dyDescent="0.3">
      <c r="A793" s="101">
        <v>44740</v>
      </c>
      <c r="B793" s="102">
        <v>15850.2</v>
      </c>
    </row>
    <row r="794" spans="1:2" x14ac:dyDescent="0.3">
      <c r="A794" s="101">
        <v>44739</v>
      </c>
      <c r="B794" s="102">
        <v>15832.05</v>
      </c>
    </row>
    <row r="795" spans="1:2" x14ac:dyDescent="0.3">
      <c r="A795" s="101">
        <v>44736</v>
      </c>
      <c r="B795" s="102">
        <v>15699.25</v>
      </c>
    </row>
    <row r="796" spans="1:2" x14ac:dyDescent="0.3">
      <c r="A796" s="101">
        <v>44735</v>
      </c>
      <c r="B796" s="102">
        <v>15556.65</v>
      </c>
    </row>
    <row r="797" spans="1:2" x14ac:dyDescent="0.3">
      <c r="A797" s="101">
        <v>44734</v>
      </c>
      <c r="B797" s="102">
        <v>15413.3</v>
      </c>
    </row>
    <row r="798" spans="1:2" x14ac:dyDescent="0.3">
      <c r="A798" s="101">
        <v>44733</v>
      </c>
      <c r="B798" s="102">
        <v>15638.8</v>
      </c>
    </row>
    <row r="799" spans="1:2" x14ac:dyDescent="0.3">
      <c r="A799" s="101">
        <v>44732</v>
      </c>
      <c r="B799" s="102">
        <v>15350.15</v>
      </c>
    </row>
    <row r="800" spans="1:2" x14ac:dyDescent="0.3">
      <c r="A800" s="101">
        <v>44729</v>
      </c>
      <c r="B800" s="102">
        <v>15293.5</v>
      </c>
    </row>
    <row r="801" spans="1:2" x14ac:dyDescent="0.3">
      <c r="A801" s="101">
        <v>44728</v>
      </c>
      <c r="B801" s="102">
        <v>15360.6</v>
      </c>
    </row>
    <row r="802" spans="1:2" x14ac:dyDescent="0.3">
      <c r="A802" s="101">
        <v>44727</v>
      </c>
      <c r="B802" s="102">
        <v>15692.15</v>
      </c>
    </row>
    <row r="803" spans="1:2" x14ac:dyDescent="0.3">
      <c r="A803" s="101">
        <v>44726</v>
      </c>
      <c r="B803" s="102">
        <v>15732.1</v>
      </c>
    </row>
    <row r="804" spans="1:2" x14ac:dyDescent="0.3">
      <c r="A804" s="101">
        <v>44725</v>
      </c>
      <c r="B804" s="102">
        <v>15774.4</v>
      </c>
    </row>
    <row r="805" spans="1:2" x14ac:dyDescent="0.3">
      <c r="A805" s="101">
        <v>44722</v>
      </c>
      <c r="B805" s="102">
        <v>16201.8</v>
      </c>
    </row>
    <row r="806" spans="1:2" x14ac:dyDescent="0.3">
      <c r="A806" s="101">
        <v>44721</v>
      </c>
      <c r="B806" s="102">
        <v>16478.099999999999</v>
      </c>
    </row>
    <row r="807" spans="1:2" x14ac:dyDescent="0.3">
      <c r="A807" s="101">
        <v>44720</v>
      </c>
      <c r="B807" s="102">
        <v>16356.25</v>
      </c>
    </row>
    <row r="808" spans="1:2" x14ac:dyDescent="0.3">
      <c r="A808" s="101">
        <v>44719</v>
      </c>
      <c r="B808" s="102">
        <v>16416.349999999999</v>
      </c>
    </row>
    <row r="809" spans="1:2" x14ac:dyDescent="0.3">
      <c r="A809" s="101">
        <v>44718</v>
      </c>
      <c r="B809" s="102">
        <v>16569.55</v>
      </c>
    </row>
    <row r="810" spans="1:2" x14ac:dyDescent="0.3">
      <c r="A810" s="101">
        <v>44715</v>
      </c>
      <c r="B810" s="102">
        <v>16584.3</v>
      </c>
    </row>
    <row r="811" spans="1:2" x14ac:dyDescent="0.3">
      <c r="A811" s="101">
        <v>44714</v>
      </c>
      <c r="B811" s="102">
        <v>16628</v>
      </c>
    </row>
    <row r="812" spans="1:2" x14ac:dyDescent="0.3">
      <c r="A812" s="101">
        <v>44713</v>
      </c>
      <c r="B812" s="102">
        <v>16522.75</v>
      </c>
    </row>
    <row r="813" spans="1:2" x14ac:dyDescent="0.3">
      <c r="A813" s="101">
        <v>44712</v>
      </c>
      <c r="B813" s="102">
        <v>16584.55</v>
      </c>
    </row>
    <row r="814" spans="1:2" x14ac:dyDescent="0.3">
      <c r="A814" s="101">
        <v>44711</v>
      </c>
      <c r="B814" s="102">
        <v>16661.400000000001</v>
      </c>
    </row>
    <row r="815" spans="1:2" x14ac:dyDescent="0.3">
      <c r="A815" s="101">
        <v>44708</v>
      </c>
      <c r="B815" s="102">
        <v>16352.45</v>
      </c>
    </row>
    <row r="816" spans="1:2" x14ac:dyDescent="0.3">
      <c r="A816" s="101">
        <v>44707</v>
      </c>
      <c r="B816" s="102">
        <v>16170.15</v>
      </c>
    </row>
    <row r="817" spans="1:2" x14ac:dyDescent="0.3">
      <c r="A817" s="101">
        <v>44706</v>
      </c>
      <c r="B817" s="102">
        <v>16025.8</v>
      </c>
    </row>
    <row r="818" spans="1:2" x14ac:dyDescent="0.3">
      <c r="A818" s="101">
        <v>44705</v>
      </c>
      <c r="B818" s="102">
        <v>16125.15</v>
      </c>
    </row>
    <row r="819" spans="1:2" x14ac:dyDescent="0.3">
      <c r="A819" s="101">
        <v>44704</v>
      </c>
      <c r="B819" s="102">
        <v>16214.7</v>
      </c>
    </row>
    <row r="820" spans="1:2" x14ac:dyDescent="0.3">
      <c r="A820" s="101">
        <v>44701</v>
      </c>
      <c r="B820" s="102">
        <v>16266.15</v>
      </c>
    </row>
    <row r="821" spans="1:2" x14ac:dyDescent="0.3">
      <c r="A821" s="101">
        <v>44700</v>
      </c>
      <c r="B821" s="102">
        <v>15809.4</v>
      </c>
    </row>
    <row r="822" spans="1:2" x14ac:dyDescent="0.3">
      <c r="A822" s="101">
        <v>44699</v>
      </c>
      <c r="B822" s="102">
        <v>16240.3</v>
      </c>
    </row>
    <row r="823" spans="1:2" x14ac:dyDescent="0.3">
      <c r="A823" s="101">
        <v>44698</v>
      </c>
      <c r="B823" s="102">
        <v>16259.3</v>
      </c>
    </row>
    <row r="824" spans="1:2" x14ac:dyDescent="0.3">
      <c r="A824" s="101">
        <v>44697</v>
      </c>
      <c r="B824" s="102">
        <v>15842.3</v>
      </c>
    </row>
    <row r="825" spans="1:2" x14ac:dyDescent="0.3">
      <c r="A825" s="101">
        <v>44694</v>
      </c>
      <c r="B825" s="102">
        <v>15782.15</v>
      </c>
    </row>
    <row r="826" spans="1:2" x14ac:dyDescent="0.3">
      <c r="A826" s="101">
        <v>44693</v>
      </c>
      <c r="B826" s="102">
        <v>15808</v>
      </c>
    </row>
    <row r="827" spans="1:2" x14ac:dyDescent="0.3">
      <c r="A827" s="101">
        <v>44692</v>
      </c>
      <c r="B827" s="102">
        <v>16167.1</v>
      </c>
    </row>
    <row r="828" spans="1:2" x14ac:dyDescent="0.3">
      <c r="A828" s="101">
        <v>44691</v>
      </c>
      <c r="B828" s="102">
        <v>16240.05</v>
      </c>
    </row>
    <row r="829" spans="1:2" x14ac:dyDescent="0.3">
      <c r="A829" s="101">
        <v>44690</v>
      </c>
      <c r="B829" s="102">
        <v>16301.85</v>
      </c>
    </row>
    <row r="830" spans="1:2" x14ac:dyDescent="0.3">
      <c r="A830" s="101">
        <v>44687</v>
      </c>
      <c r="B830" s="102">
        <v>16411.25</v>
      </c>
    </row>
    <row r="831" spans="1:2" x14ac:dyDescent="0.3">
      <c r="A831" s="101">
        <v>44686</v>
      </c>
      <c r="B831" s="102">
        <v>16682.650000000001</v>
      </c>
    </row>
    <row r="832" spans="1:2" x14ac:dyDescent="0.3">
      <c r="A832" s="101">
        <v>44685</v>
      </c>
      <c r="B832" s="102">
        <v>16677.599999999999</v>
      </c>
    </row>
    <row r="833" spans="1:2" x14ac:dyDescent="0.3">
      <c r="A833" s="101">
        <v>44683</v>
      </c>
      <c r="B833" s="102">
        <v>17069.099999999999</v>
      </c>
    </row>
    <row r="834" spans="1:2" x14ac:dyDescent="0.3">
      <c r="A834" s="101">
        <v>44680</v>
      </c>
      <c r="B834" s="102">
        <v>17102.55</v>
      </c>
    </row>
    <row r="835" spans="1:2" x14ac:dyDescent="0.3">
      <c r="A835" s="101">
        <v>44679</v>
      </c>
      <c r="B835" s="102">
        <v>17245.05</v>
      </c>
    </row>
    <row r="836" spans="1:2" x14ac:dyDescent="0.3">
      <c r="A836" s="101">
        <v>44678</v>
      </c>
      <c r="B836" s="102">
        <v>17038.400000000001</v>
      </c>
    </row>
    <row r="837" spans="1:2" x14ac:dyDescent="0.3">
      <c r="A837" s="101">
        <v>44677</v>
      </c>
      <c r="B837" s="102">
        <v>17200.8</v>
      </c>
    </row>
    <row r="838" spans="1:2" x14ac:dyDescent="0.3">
      <c r="A838" s="101">
        <v>44676</v>
      </c>
      <c r="B838" s="102">
        <v>16953.95</v>
      </c>
    </row>
    <row r="839" spans="1:2" x14ac:dyDescent="0.3">
      <c r="A839" s="101">
        <v>44673</v>
      </c>
      <c r="B839" s="102">
        <v>17171.95</v>
      </c>
    </row>
    <row r="840" spans="1:2" x14ac:dyDescent="0.3">
      <c r="A840" s="101">
        <v>44672</v>
      </c>
      <c r="B840" s="102">
        <v>17392.599999999999</v>
      </c>
    </row>
    <row r="841" spans="1:2" x14ac:dyDescent="0.3">
      <c r="A841" s="101">
        <v>44671</v>
      </c>
      <c r="B841" s="102">
        <v>17136.55</v>
      </c>
    </row>
    <row r="842" spans="1:2" x14ac:dyDescent="0.3">
      <c r="A842" s="101">
        <v>44670</v>
      </c>
      <c r="B842" s="102">
        <v>16958.650000000001</v>
      </c>
    </row>
    <row r="843" spans="1:2" x14ac:dyDescent="0.3">
      <c r="A843" s="101">
        <v>44669</v>
      </c>
      <c r="B843" s="102">
        <v>17173.650000000001</v>
      </c>
    </row>
    <row r="844" spans="1:2" x14ac:dyDescent="0.3">
      <c r="A844" s="101">
        <v>44664</v>
      </c>
      <c r="B844" s="102">
        <v>17475.650000000001</v>
      </c>
    </row>
    <row r="845" spans="1:2" x14ac:dyDescent="0.3">
      <c r="A845" s="101">
        <v>44663</v>
      </c>
      <c r="B845" s="102">
        <v>17530.3</v>
      </c>
    </row>
    <row r="846" spans="1:2" x14ac:dyDescent="0.3">
      <c r="A846" s="101">
        <v>44662</v>
      </c>
      <c r="B846" s="102">
        <v>17674.95</v>
      </c>
    </row>
    <row r="847" spans="1:2" x14ac:dyDescent="0.3">
      <c r="A847" s="101">
        <v>44659</v>
      </c>
      <c r="B847" s="102">
        <v>17784.349999999999</v>
      </c>
    </row>
    <row r="848" spans="1:2" x14ac:dyDescent="0.3">
      <c r="A848" s="101">
        <v>44658</v>
      </c>
      <c r="B848" s="102">
        <v>17639.55</v>
      </c>
    </row>
    <row r="849" spans="1:2" x14ac:dyDescent="0.3">
      <c r="A849" s="101">
        <v>44657</v>
      </c>
      <c r="B849" s="102">
        <v>17807.650000000001</v>
      </c>
    </row>
    <row r="850" spans="1:2" x14ac:dyDescent="0.3">
      <c r="A850" s="101">
        <v>44656</v>
      </c>
      <c r="B850" s="102">
        <v>17957.400000000001</v>
      </c>
    </row>
    <row r="851" spans="1:2" x14ac:dyDescent="0.3">
      <c r="A851" s="101">
        <v>44655</v>
      </c>
      <c r="B851" s="102">
        <v>18053.400000000001</v>
      </c>
    </row>
    <row r="852" spans="1:2" x14ac:dyDescent="0.3">
      <c r="A852" s="101">
        <v>44652</v>
      </c>
      <c r="B852" s="102">
        <v>17670.45</v>
      </c>
    </row>
    <row r="853" spans="1:2" x14ac:dyDescent="0.3">
      <c r="A853" s="101">
        <v>44651</v>
      </c>
      <c r="B853" s="102">
        <v>17464.75</v>
      </c>
    </row>
    <row r="854" spans="1:2" x14ac:dyDescent="0.3">
      <c r="A854" s="101">
        <v>44650</v>
      </c>
      <c r="B854" s="102">
        <v>17498.25</v>
      </c>
    </row>
    <row r="855" spans="1:2" x14ac:dyDescent="0.3">
      <c r="A855" s="101">
        <v>44649</v>
      </c>
      <c r="B855" s="102">
        <v>17325.3</v>
      </c>
    </row>
    <row r="856" spans="1:2" x14ac:dyDescent="0.3">
      <c r="A856" s="101">
        <v>44648</v>
      </c>
      <c r="B856" s="102">
        <v>17222</v>
      </c>
    </row>
    <row r="857" spans="1:2" x14ac:dyDescent="0.3">
      <c r="A857" s="101">
        <v>44645</v>
      </c>
      <c r="B857" s="102">
        <v>17153</v>
      </c>
    </row>
    <row r="858" spans="1:2" x14ac:dyDescent="0.3">
      <c r="A858" s="101">
        <v>44644</v>
      </c>
      <c r="B858" s="102">
        <v>17222.75</v>
      </c>
    </row>
    <row r="859" spans="1:2" x14ac:dyDescent="0.3">
      <c r="A859" s="101">
        <v>44643</v>
      </c>
      <c r="B859" s="102">
        <v>17245.650000000001</v>
      </c>
    </row>
    <row r="860" spans="1:2" x14ac:dyDescent="0.3">
      <c r="A860" s="101">
        <v>44642</v>
      </c>
      <c r="B860" s="102">
        <v>17315.5</v>
      </c>
    </row>
    <row r="861" spans="1:2" x14ac:dyDescent="0.3">
      <c r="A861" s="101">
        <v>44641</v>
      </c>
      <c r="B861" s="102">
        <v>17117.599999999999</v>
      </c>
    </row>
    <row r="862" spans="1:2" x14ac:dyDescent="0.3">
      <c r="A862" s="101">
        <v>44637</v>
      </c>
      <c r="B862" s="102">
        <v>17287.05</v>
      </c>
    </row>
    <row r="863" spans="1:2" x14ac:dyDescent="0.3">
      <c r="A863" s="101">
        <v>44636</v>
      </c>
      <c r="B863" s="102">
        <v>16975.349999999999</v>
      </c>
    </row>
    <row r="864" spans="1:2" x14ac:dyDescent="0.3">
      <c r="A864" s="101">
        <v>44635</v>
      </c>
      <c r="B864" s="102">
        <v>16663</v>
      </c>
    </row>
    <row r="865" spans="1:2" x14ac:dyDescent="0.3">
      <c r="A865" s="101">
        <v>44634</v>
      </c>
      <c r="B865" s="102">
        <v>16871.3</v>
      </c>
    </row>
    <row r="866" spans="1:2" x14ac:dyDescent="0.3">
      <c r="A866" s="101">
        <v>44631</v>
      </c>
      <c r="B866" s="102">
        <v>16630.45</v>
      </c>
    </row>
    <row r="867" spans="1:2" x14ac:dyDescent="0.3">
      <c r="A867" s="101">
        <v>44630</v>
      </c>
      <c r="B867" s="102">
        <v>16594.900000000001</v>
      </c>
    </row>
    <row r="868" spans="1:2" x14ac:dyDescent="0.3">
      <c r="A868" s="101">
        <v>44629</v>
      </c>
      <c r="B868" s="102">
        <v>16345.35</v>
      </c>
    </row>
    <row r="869" spans="1:2" x14ac:dyDescent="0.3">
      <c r="A869" s="101">
        <v>44628</v>
      </c>
      <c r="B869" s="102">
        <v>16013.45</v>
      </c>
    </row>
    <row r="870" spans="1:2" x14ac:dyDescent="0.3">
      <c r="A870" s="101">
        <v>44627</v>
      </c>
      <c r="B870" s="102">
        <v>15863.15</v>
      </c>
    </row>
    <row r="871" spans="1:2" x14ac:dyDescent="0.3">
      <c r="A871" s="101">
        <v>44624</v>
      </c>
      <c r="B871" s="102">
        <v>16245.35</v>
      </c>
    </row>
    <row r="872" spans="1:2" x14ac:dyDescent="0.3">
      <c r="A872" s="101">
        <v>44623</v>
      </c>
      <c r="B872" s="102">
        <v>16498.05</v>
      </c>
    </row>
    <row r="873" spans="1:2" x14ac:dyDescent="0.3">
      <c r="A873" s="101">
        <v>44622</v>
      </c>
      <c r="B873" s="102">
        <v>16605.95</v>
      </c>
    </row>
    <row r="874" spans="1:2" x14ac:dyDescent="0.3">
      <c r="A874" s="101">
        <v>44620</v>
      </c>
      <c r="B874" s="102">
        <v>16793.900000000001</v>
      </c>
    </row>
    <row r="875" spans="1:2" x14ac:dyDescent="0.3">
      <c r="A875" s="101">
        <v>44617</v>
      </c>
      <c r="B875" s="102">
        <v>16658.400000000001</v>
      </c>
    </row>
    <row r="876" spans="1:2" x14ac:dyDescent="0.3">
      <c r="A876" s="101">
        <v>44616</v>
      </c>
      <c r="B876" s="102">
        <v>16247.95</v>
      </c>
    </row>
    <row r="877" spans="1:2" x14ac:dyDescent="0.3">
      <c r="A877" s="101">
        <v>44615</v>
      </c>
      <c r="B877" s="102">
        <v>17063.25</v>
      </c>
    </row>
    <row r="878" spans="1:2" x14ac:dyDescent="0.3">
      <c r="A878" s="101">
        <v>44614</v>
      </c>
      <c r="B878" s="102">
        <v>17092.2</v>
      </c>
    </row>
    <row r="879" spans="1:2" x14ac:dyDescent="0.3">
      <c r="A879" s="101">
        <v>44613</v>
      </c>
      <c r="B879" s="102">
        <v>17206.650000000001</v>
      </c>
    </row>
    <row r="880" spans="1:2" x14ac:dyDescent="0.3">
      <c r="A880" s="101">
        <v>44610</v>
      </c>
      <c r="B880" s="102">
        <v>17276.3</v>
      </c>
    </row>
    <row r="881" spans="1:2" x14ac:dyDescent="0.3">
      <c r="A881" s="101">
        <v>44609</v>
      </c>
      <c r="B881" s="102">
        <v>17304.599999999999</v>
      </c>
    </row>
    <row r="882" spans="1:2" x14ac:dyDescent="0.3">
      <c r="A882" s="101">
        <v>44608</v>
      </c>
      <c r="B882" s="102">
        <v>17322.2</v>
      </c>
    </row>
    <row r="883" spans="1:2" x14ac:dyDescent="0.3">
      <c r="A883" s="101">
        <v>44607</v>
      </c>
      <c r="B883" s="102">
        <v>17352.45</v>
      </c>
    </row>
    <row r="884" spans="1:2" x14ac:dyDescent="0.3">
      <c r="A884" s="101">
        <v>44606</v>
      </c>
      <c r="B884" s="102">
        <v>16842.8</v>
      </c>
    </row>
    <row r="885" spans="1:2" x14ac:dyDescent="0.3">
      <c r="A885" s="101">
        <v>44603</v>
      </c>
      <c r="B885" s="102">
        <v>17374.75</v>
      </c>
    </row>
    <row r="886" spans="1:2" x14ac:dyDescent="0.3">
      <c r="A886" s="101">
        <v>44602</v>
      </c>
      <c r="B886" s="102">
        <v>17605.849999999999</v>
      </c>
    </row>
    <row r="887" spans="1:2" x14ac:dyDescent="0.3">
      <c r="A887" s="101">
        <v>44601</v>
      </c>
      <c r="B887" s="102">
        <v>17463.8</v>
      </c>
    </row>
    <row r="888" spans="1:2" x14ac:dyDescent="0.3">
      <c r="A888" s="101">
        <v>44600</v>
      </c>
      <c r="B888" s="102">
        <v>17266.75</v>
      </c>
    </row>
    <row r="889" spans="1:2" x14ac:dyDescent="0.3">
      <c r="A889" s="101">
        <v>44599</v>
      </c>
      <c r="B889" s="102">
        <v>17213.599999999999</v>
      </c>
    </row>
    <row r="890" spans="1:2" x14ac:dyDescent="0.3">
      <c r="A890" s="101">
        <v>44596</v>
      </c>
      <c r="B890" s="102">
        <v>17516.3</v>
      </c>
    </row>
    <row r="891" spans="1:2" x14ac:dyDescent="0.3">
      <c r="A891" s="101">
        <v>44595</v>
      </c>
      <c r="B891" s="102">
        <v>17560.2</v>
      </c>
    </row>
    <row r="892" spans="1:2" x14ac:dyDescent="0.3">
      <c r="A892" s="101">
        <v>44594</v>
      </c>
      <c r="B892" s="102">
        <v>17780</v>
      </c>
    </row>
    <row r="893" spans="1:2" x14ac:dyDescent="0.3">
      <c r="A893" s="101">
        <v>44593</v>
      </c>
      <c r="B893" s="102">
        <v>17576.849999999999</v>
      </c>
    </row>
    <row r="894" spans="1:2" x14ac:dyDescent="0.3">
      <c r="A894" s="101">
        <v>44592</v>
      </c>
      <c r="B894" s="102">
        <v>17339.849999999999</v>
      </c>
    </row>
    <row r="895" spans="1:2" x14ac:dyDescent="0.3">
      <c r="A895" s="101">
        <v>44589</v>
      </c>
      <c r="B895" s="102">
        <v>17101.95</v>
      </c>
    </row>
    <row r="896" spans="1:2" x14ac:dyDescent="0.3">
      <c r="A896" s="101">
        <v>44588</v>
      </c>
      <c r="B896" s="102">
        <v>17110.150000000001</v>
      </c>
    </row>
    <row r="897" spans="1:2" x14ac:dyDescent="0.3">
      <c r="A897" s="101">
        <v>44586</v>
      </c>
      <c r="B897" s="102">
        <v>17277.95</v>
      </c>
    </row>
    <row r="898" spans="1:2" x14ac:dyDescent="0.3">
      <c r="A898" s="101">
        <v>44585</v>
      </c>
      <c r="B898" s="102">
        <v>17149.099999999999</v>
      </c>
    </row>
    <row r="899" spans="1:2" x14ac:dyDescent="0.3">
      <c r="A899" s="101">
        <v>44582</v>
      </c>
      <c r="B899" s="102">
        <v>17617.150000000001</v>
      </c>
    </row>
    <row r="900" spans="1:2" x14ac:dyDescent="0.3">
      <c r="A900" s="101">
        <v>44581</v>
      </c>
      <c r="B900" s="102">
        <v>17757</v>
      </c>
    </row>
    <row r="901" spans="1:2" x14ac:dyDescent="0.3">
      <c r="A901" s="101">
        <v>44580</v>
      </c>
      <c r="B901" s="102">
        <v>17938.400000000001</v>
      </c>
    </row>
    <row r="902" spans="1:2" x14ac:dyDescent="0.3">
      <c r="A902" s="101">
        <v>44579</v>
      </c>
      <c r="B902" s="102">
        <v>18113.05</v>
      </c>
    </row>
    <row r="903" spans="1:2" x14ac:dyDescent="0.3">
      <c r="A903" s="101">
        <v>44578</v>
      </c>
      <c r="B903" s="102">
        <v>18308.099999999999</v>
      </c>
    </row>
    <row r="904" spans="1:2" x14ac:dyDescent="0.3">
      <c r="A904" s="101">
        <v>44575</v>
      </c>
      <c r="B904" s="102">
        <v>18255.75</v>
      </c>
    </row>
    <row r="905" spans="1:2" x14ac:dyDescent="0.3">
      <c r="A905" s="101">
        <v>44574</v>
      </c>
      <c r="B905" s="102">
        <v>18257.8</v>
      </c>
    </row>
    <row r="906" spans="1:2" x14ac:dyDescent="0.3">
      <c r="A906" s="101">
        <v>44573</v>
      </c>
      <c r="B906" s="102">
        <v>18212.349999999999</v>
      </c>
    </row>
    <row r="907" spans="1:2" x14ac:dyDescent="0.3">
      <c r="A907" s="101">
        <v>44572</v>
      </c>
      <c r="B907" s="102">
        <v>18055.75</v>
      </c>
    </row>
    <row r="908" spans="1:2" x14ac:dyDescent="0.3">
      <c r="A908" s="101">
        <v>44571</v>
      </c>
      <c r="B908" s="102">
        <v>18003.3</v>
      </c>
    </row>
    <row r="909" spans="1:2" x14ac:dyDescent="0.3">
      <c r="A909" s="101">
        <v>44568</v>
      </c>
      <c r="B909" s="102">
        <v>17812.7</v>
      </c>
    </row>
    <row r="910" spans="1:2" x14ac:dyDescent="0.3">
      <c r="A910" s="101">
        <v>44567</v>
      </c>
      <c r="B910" s="102">
        <v>17745.900000000001</v>
      </c>
    </row>
    <row r="911" spans="1:2" x14ac:dyDescent="0.3">
      <c r="A911" s="101">
        <v>44566</v>
      </c>
      <c r="B911" s="102">
        <v>17925.25</v>
      </c>
    </row>
    <row r="912" spans="1:2" x14ac:dyDescent="0.3">
      <c r="A912" s="101">
        <v>44565</v>
      </c>
      <c r="B912" s="102">
        <v>17805.25</v>
      </c>
    </row>
    <row r="913" spans="1:2" x14ac:dyDescent="0.3">
      <c r="A913" s="101">
        <v>44564</v>
      </c>
      <c r="B913" s="102">
        <v>17625.7</v>
      </c>
    </row>
    <row r="914" spans="1:2" x14ac:dyDescent="0.3">
      <c r="A914" s="101">
        <v>44561</v>
      </c>
      <c r="B914" s="102">
        <v>17354.05</v>
      </c>
    </row>
    <row r="915" spans="1:2" x14ac:dyDescent="0.3">
      <c r="A915" s="101">
        <v>44560</v>
      </c>
      <c r="B915" s="102">
        <v>17203.95</v>
      </c>
    </row>
    <row r="916" spans="1:2" x14ac:dyDescent="0.3">
      <c r="A916" s="101">
        <v>44559</v>
      </c>
      <c r="B916" s="102">
        <v>17213.599999999999</v>
      </c>
    </row>
    <row r="917" spans="1:2" x14ac:dyDescent="0.3">
      <c r="A917" s="101">
        <v>44558</v>
      </c>
      <c r="B917" s="102">
        <v>17233.25</v>
      </c>
    </row>
    <row r="918" spans="1:2" x14ac:dyDescent="0.3">
      <c r="A918" s="101">
        <v>44557</v>
      </c>
      <c r="B918" s="102">
        <v>17086.25</v>
      </c>
    </row>
    <row r="919" spans="1:2" x14ac:dyDescent="0.3">
      <c r="A919" s="101">
        <v>44554</v>
      </c>
      <c r="B919" s="102">
        <v>17003.75</v>
      </c>
    </row>
    <row r="920" spans="1:2" x14ac:dyDescent="0.3">
      <c r="A920" s="101">
        <v>44553</v>
      </c>
      <c r="B920" s="102">
        <v>17072.599999999999</v>
      </c>
    </row>
    <row r="921" spans="1:2" x14ac:dyDescent="0.3">
      <c r="A921" s="101">
        <v>44552</v>
      </c>
      <c r="B921" s="102">
        <v>16955.45</v>
      </c>
    </row>
    <row r="922" spans="1:2" x14ac:dyDescent="0.3">
      <c r="A922" s="101">
        <v>44551</v>
      </c>
      <c r="B922" s="102">
        <v>16770.849999999999</v>
      </c>
    </row>
    <row r="923" spans="1:2" x14ac:dyDescent="0.3">
      <c r="A923" s="101">
        <v>44550</v>
      </c>
      <c r="B923" s="102">
        <v>16614.2</v>
      </c>
    </row>
    <row r="924" spans="1:2" x14ac:dyDescent="0.3">
      <c r="A924" s="101">
        <v>44547</v>
      </c>
      <c r="B924" s="102">
        <v>16985.2</v>
      </c>
    </row>
    <row r="925" spans="1:2" x14ac:dyDescent="0.3">
      <c r="A925" s="101">
        <v>44546</v>
      </c>
      <c r="B925" s="102">
        <v>17248.400000000001</v>
      </c>
    </row>
    <row r="926" spans="1:2" x14ac:dyDescent="0.3">
      <c r="A926" s="101">
        <v>44545</v>
      </c>
      <c r="B926" s="102">
        <v>17221.400000000001</v>
      </c>
    </row>
    <row r="927" spans="1:2" x14ac:dyDescent="0.3">
      <c r="A927" s="101">
        <v>44544</v>
      </c>
      <c r="B927" s="102">
        <v>17324.900000000001</v>
      </c>
    </row>
    <row r="928" spans="1:2" x14ac:dyDescent="0.3">
      <c r="A928" s="101">
        <v>44543</v>
      </c>
      <c r="B928" s="102">
        <v>17368.25</v>
      </c>
    </row>
    <row r="929" spans="1:2" x14ac:dyDescent="0.3">
      <c r="A929" s="101">
        <v>44540</v>
      </c>
      <c r="B929" s="102">
        <v>17511.3</v>
      </c>
    </row>
    <row r="930" spans="1:2" x14ac:dyDescent="0.3">
      <c r="A930" s="101">
        <v>44539</v>
      </c>
      <c r="B930" s="102">
        <v>17516.849999999999</v>
      </c>
    </row>
    <row r="931" spans="1:2" x14ac:dyDescent="0.3">
      <c r="A931" s="101">
        <v>44538</v>
      </c>
      <c r="B931" s="102">
        <v>17469.75</v>
      </c>
    </row>
    <row r="932" spans="1:2" x14ac:dyDescent="0.3">
      <c r="A932" s="101">
        <v>44537</v>
      </c>
      <c r="B932" s="102">
        <v>17176.7</v>
      </c>
    </row>
    <row r="933" spans="1:2" x14ac:dyDescent="0.3">
      <c r="A933" s="101">
        <v>44536</v>
      </c>
      <c r="B933" s="102">
        <v>16912.25</v>
      </c>
    </row>
    <row r="934" spans="1:2" x14ac:dyDescent="0.3">
      <c r="A934" s="101">
        <v>44533</v>
      </c>
      <c r="B934" s="102">
        <v>17196.7</v>
      </c>
    </row>
    <row r="935" spans="1:2" x14ac:dyDescent="0.3">
      <c r="A935" s="101">
        <v>44532</v>
      </c>
      <c r="B935" s="102">
        <v>17401.650000000001</v>
      </c>
    </row>
    <row r="936" spans="1:2" x14ac:dyDescent="0.3">
      <c r="A936" s="101">
        <v>44531</v>
      </c>
      <c r="B936" s="102">
        <v>17166.900000000001</v>
      </c>
    </row>
    <row r="937" spans="1:2" x14ac:dyDescent="0.3">
      <c r="A937" s="101">
        <v>44530</v>
      </c>
      <c r="B937" s="102">
        <v>16983.2</v>
      </c>
    </row>
    <row r="938" spans="1:2" x14ac:dyDescent="0.3">
      <c r="A938" s="101">
        <v>44529</v>
      </c>
      <c r="B938" s="102">
        <v>17053.95</v>
      </c>
    </row>
    <row r="939" spans="1:2" x14ac:dyDescent="0.3">
      <c r="A939" s="101">
        <v>44526</v>
      </c>
      <c r="B939" s="102">
        <v>17026.45</v>
      </c>
    </row>
    <row r="940" spans="1:2" x14ac:dyDescent="0.3">
      <c r="A940" s="101">
        <v>44525</v>
      </c>
      <c r="B940" s="102">
        <v>17536.25</v>
      </c>
    </row>
    <row r="941" spans="1:2" x14ac:dyDescent="0.3">
      <c r="A941" s="101">
        <v>44524</v>
      </c>
      <c r="B941" s="102">
        <v>17415.05</v>
      </c>
    </row>
    <row r="942" spans="1:2" x14ac:dyDescent="0.3">
      <c r="A942" s="101">
        <v>44523</v>
      </c>
      <c r="B942" s="102">
        <v>17503.349999999999</v>
      </c>
    </row>
    <row r="943" spans="1:2" x14ac:dyDescent="0.3">
      <c r="A943" s="101">
        <v>44522</v>
      </c>
      <c r="B943" s="102">
        <v>17416.55</v>
      </c>
    </row>
    <row r="944" spans="1:2" x14ac:dyDescent="0.3">
      <c r="A944" s="101">
        <v>44518</v>
      </c>
      <c r="B944" s="102">
        <v>17764.8</v>
      </c>
    </row>
    <row r="945" spans="1:2" x14ac:dyDescent="0.3">
      <c r="A945" s="101">
        <v>44517</v>
      </c>
      <c r="B945" s="102">
        <v>17898.650000000001</v>
      </c>
    </row>
    <row r="946" spans="1:2" x14ac:dyDescent="0.3">
      <c r="A946" s="101">
        <v>44516</v>
      </c>
      <c r="B946" s="102">
        <v>17999.2</v>
      </c>
    </row>
    <row r="947" spans="1:2" x14ac:dyDescent="0.3">
      <c r="A947" s="101">
        <v>44515</v>
      </c>
      <c r="B947" s="102">
        <v>18109.45</v>
      </c>
    </row>
    <row r="948" spans="1:2" x14ac:dyDescent="0.3">
      <c r="A948" s="101">
        <v>44512</v>
      </c>
      <c r="B948" s="102">
        <v>18102.75</v>
      </c>
    </row>
    <row r="949" spans="1:2" x14ac:dyDescent="0.3">
      <c r="A949" s="101">
        <v>44511</v>
      </c>
      <c r="B949" s="102">
        <v>17873.599999999999</v>
      </c>
    </row>
    <row r="950" spans="1:2" x14ac:dyDescent="0.3">
      <c r="A950" s="101">
        <v>44510</v>
      </c>
      <c r="B950" s="102">
        <v>18017.2</v>
      </c>
    </row>
    <row r="951" spans="1:2" x14ac:dyDescent="0.3">
      <c r="A951" s="101">
        <v>44509</v>
      </c>
      <c r="B951" s="102">
        <v>18044.25</v>
      </c>
    </row>
    <row r="952" spans="1:2" x14ac:dyDescent="0.3">
      <c r="A952" s="101">
        <v>44508</v>
      </c>
      <c r="B952" s="102">
        <v>18068.55</v>
      </c>
    </row>
    <row r="953" spans="1:2" x14ac:dyDescent="0.3">
      <c r="A953" s="101">
        <v>44504</v>
      </c>
      <c r="B953" s="102">
        <v>17916.8</v>
      </c>
    </row>
    <row r="954" spans="1:2" x14ac:dyDescent="0.3">
      <c r="A954" s="101">
        <v>44503</v>
      </c>
      <c r="B954" s="102">
        <v>17829.2</v>
      </c>
    </row>
    <row r="955" spans="1:2" x14ac:dyDescent="0.3">
      <c r="A955" s="101">
        <v>44502</v>
      </c>
      <c r="B955" s="102">
        <v>17888.95</v>
      </c>
    </row>
    <row r="956" spans="1:2" x14ac:dyDescent="0.3">
      <c r="A956" s="101">
        <v>44501</v>
      </c>
      <c r="B956" s="102">
        <v>17929.650000000001</v>
      </c>
    </row>
    <row r="957" spans="1:2" x14ac:dyDescent="0.3">
      <c r="A957" s="101">
        <v>44498</v>
      </c>
      <c r="B957" s="102">
        <v>17671.650000000001</v>
      </c>
    </row>
    <row r="958" spans="1:2" x14ac:dyDescent="0.3">
      <c r="A958" s="101">
        <v>44497</v>
      </c>
      <c r="B958" s="102">
        <v>17857.25</v>
      </c>
    </row>
    <row r="959" spans="1:2" x14ac:dyDescent="0.3">
      <c r="A959" s="101">
        <v>44496</v>
      </c>
      <c r="B959" s="102">
        <v>18210.95</v>
      </c>
    </row>
    <row r="960" spans="1:2" x14ac:dyDescent="0.3">
      <c r="A960" s="101">
        <v>44495</v>
      </c>
      <c r="B960" s="102">
        <v>18268.400000000001</v>
      </c>
    </row>
    <row r="961" spans="1:2" x14ac:dyDescent="0.3">
      <c r="A961" s="101">
        <v>44494</v>
      </c>
      <c r="B961" s="102">
        <v>18125.400000000001</v>
      </c>
    </row>
    <row r="962" spans="1:2" x14ac:dyDescent="0.3">
      <c r="A962" s="101">
        <v>44491</v>
      </c>
      <c r="B962" s="102">
        <v>18114.900000000001</v>
      </c>
    </row>
    <row r="963" spans="1:2" x14ac:dyDescent="0.3">
      <c r="A963" s="101">
        <v>44490</v>
      </c>
      <c r="B963" s="102">
        <v>18178.099999999999</v>
      </c>
    </row>
    <row r="964" spans="1:2" x14ac:dyDescent="0.3">
      <c r="A964" s="101">
        <v>44489</v>
      </c>
      <c r="B964" s="102">
        <v>18266.599999999999</v>
      </c>
    </row>
    <row r="965" spans="1:2" x14ac:dyDescent="0.3">
      <c r="A965" s="101">
        <v>44488</v>
      </c>
      <c r="B965" s="102">
        <v>18418.75</v>
      </c>
    </row>
    <row r="966" spans="1:2" x14ac:dyDescent="0.3">
      <c r="A966" s="101">
        <v>44487</v>
      </c>
      <c r="B966" s="102">
        <v>18477.05</v>
      </c>
    </row>
    <row r="967" spans="1:2" x14ac:dyDescent="0.3">
      <c r="A967" s="101">
        <v>44483</v>
      </c>
      <c r="B967" s="102">
        <v>18338.55</v>
      </c>
    </row>
    <row r="968" spans="1:2" x14ac:dyDescent="0.3">
      <c r="A968" s="101">
        <v>44482</v>
      </c>
      <c r="B968" s="102">
        <v>18161.75</v>
      </c>
    </row>
    <row r="969" spans="1:2" x14ac:dyDescent="0.3">
      <c r="A969" s="101">
        <v>44481</v>
      </c>
      <c r="B969" s="102">
        <v>17991.95</v>
      </c>
    </row>
    <row r="970" spans="1:2" x14ac:dyDescent="0.3">
      <c r="A970" s="101">
        <v>44480</v>
      </c>
      <c r="B970" s="102">
        <v>17945.95</v>
      </c>
    </row>
    <row r="971" spans="1:2" x14ac:dyDescent="0.3">
      <c r="A971" s="101">
        <v>44477</v>
      </c>
      <c r="B971" s="102">
        <v>17895.2</v>
      </c>
    </row>
    <row r="972" spans="1:2" x14ac:dyDescent="0.3">
      <c r="A972" s="101">
        <v>44476</v>
      </c>
      <c r="B972" s="102">
        <v>17790.349999999999</v>
      </c>
    </row>
    <row r="973" spans="1:2" x14ac:dyDescent="0.3">
      <c r="A973" s="101">
        <v>44475</v>
      </c>
      <c r="B973" s="102">
        <v>17646</v>
      </c>
    </row>
    <row r="974" spans="1:2" x14ac:dyDescent="0.3">
      <c r="A974" s="101">
        <v>44474</v>
      </c>
      <c r="B974" s="102">
        <v>17822.3</v>
      </c>
    </row>
    <row r="975" spans="1:2" x14ac:dyDescent="0.3">
      <c r="A975" s="101">
        <v>44473</v>
      </c>
      <c r="B975" s="102">
        <v>17691.25</v>
      </c>
    </row>
    <row r="976" spans="1:2" x14ac:dyDescent="0.3">
      <c r="A976" s="101">
        <v>44470</v>
      </c>
      <c r="B976" s="102">
        <v>17532.05</v>
      </c>
    </row>
    <row r="977" spans="1:2" x14ac:dyDescent="0.3">
      <c r="A977" s="101">
        <v>44469</v>
      </c>
      <c r="B977" s="102">
        <v>17618.150000000001</v>
      </c>
    </row>
    <row r="978" spans="1:2" x14ac:dyDescent="0.3">
      <c r="A978" s="101">
        <v>44468</v>
      </c>
      <c r="B978" s="102">
        <v>17711.3</v>
      </c>
    </row>
    <row r="979" spans="1:2" x14ac:dyDescent="0.3">
      <c r="A979" s="101">
        <v>44467</v>
      </c>
      <c r="B979" s="102">
        <v>17748.599999999999</v>
      </c>
    </row>
    <row r="980" spans="1:2" x14ac:dyDescent="0.3">
      <c r="A980" s="101">
        <v>44466</v>
      </c>
      <c r="B980" s="102">
        <v>17855.099999999999</v>
      </c>
    </row>
    <row r="981" spans="1:2" x14ac:dyDescent="0.3">
      <c r="A981" s="101">
        <v>44463</v>
      </c>
      <c r="B981" s="102">
        <v>17853.2</v>
      </c>
    </row>
    <row r="982" spans="1:2" x14ac:dyDescent="0.3">
      <c r="A982" s="101">
        <v>44462</v>
      </c>
      <c r="B982" s="102">
        <v>17822.95</v>
      </c>
    </row>
    <row r="983" spans="1:2" x14ac:dyDescent="0.3">
      <c r="A983" s="101">
        <v>44461</v>
      </c>
      <c r="B983" s="102">
        <v>17546.650000000001</v>
      </c>
    </row>
    <row r="984" spans="1:2" x14ac:dyDescent="0.3">
      <c r="A984" s="101">
        <v>44460</v>
      </c>
      <c r="B984" s="102">
        <v>17562</v>
      </c>
    </row>
    <row r="985" spans="1:2" x14ac:dyDescent="0.3">
      <c r="A985" s="101">
        <v>44459</v>
      </c>
      <c r="B985" s="102">
        <v>17396.900000000001</v>
      </c>
    </row>
    <row r="986" spans="1:2" x14ac:dyDescent="0.3">
      <c r="A986" s="101">
        <v>44456</v>
      </c>
      <c r="B986" s="102">
        <v>17585.150000000001</v>
      </c>
    </row>
    <row r="987" spans="1:2" x14ac:dyDescent="0.3">
      <c r="A987" s="101">
        <v>44455</v>
      </c>
      <c r="B987" s="102">
        <v>17629.5</v>
      </c>
    </row>
    <row r="988" spans="1:2" x14ac:dyDescent="0.3">
      <c r="A988" s="101">
        <v>44454</v>
      </c>
      <c r="B988" s="102">
        <v>17519.45</v>
      </c>
    </row>
    <row r="989" spans="1:2" x14ac:dyDescent="0.3">
      <c r="A989" s="101">
        <v>44453</v>
      </c>
      <c r="B989" s="102">
        <v>17380</v>
      </c>
    </row>
    <row r="990" spans="1:2" x14ac:dyDescent="0.3">
      <c r="A990" s="101">
        <v>44452</v>
      </c>
      <c r="B990" s="102">
        <v>17355.3</v>
      </c>
    </row>
    <row r="991" spans="1:2" x14ac:dyDescent="0.3">
      <c r="A991" s="101">
        <v>44448</v>
      </c>
      <c r="B991" s="102">
        <v>17369.25</v>
      </c>
    </row>
    <row r="992" spans="1:2" x14ac:dyDescent="0.3">
      <c r="A992" s="101">
        <v>44447</v>
      </c>
      <c r="B992" s="102">
        <v>17353.5</v>
      </c>
    </row>
    <row r="993" spans="1:2" x14ac:dyDescent="0.3">
      <c r="A993" s="101">
        <v>44446</v>
      </c>
      <c r="B993" s="102">
        <v>17362.099999999999</v>
      </c>
    </row>
    <row r="994" spans="1:2" x14ac:dyDescent="0.3">
      <c r="A994" s="101">
        <v>44445</v>
      </c>
      <c r="B994" s="102">
        <v>17377.8</v>
      </c>
    </row>
    <row r="995" spans="1:2" x14ac:dyDescent="0.3">
      <c r="A995" s="101">
        <v>44442</v>
      </c>
      <c r="B995" s="102">
        <v>17323.599999999999</v>
      </c>
    </row>
    <row r="996" spans="1:2" x14ac:dyDescent="0.3">
      <c r="A996" s="101">
        <v>44441</v>
      </c>
      <c r="B996" s="102">
        <v>17234.150000000001</v>
      </c>
    </row>
    <row r="997" spans="1:2" x14ac:dyDescent="0.3">
      <c r="A997" s="101">
        <v>44440</v>
      </c>
      <c r="B997" s="102">
        <v>17076.25</v>
      </c>
    </row>
    <row r="998" spans="1:2" x14ac:dyDescent="0.3">
      <c r="A998" s="101">
        <v>44439</v>
      </c>
      <c r="B998" s="102">
        <v>17132.2</v>
      </c>
    </row>
    <row r="999" spans="1:2" x14ac:dyDescent="0.3">
      <c r="A999" s="101">
        <v>44438</v>
      </c>
      <c r="B999" s="102">
        <v>16931.05</v>
      </c>
    </row>
    <row r="1000" spans="1:2" x14ac:dyDescent="0.3">
      <c r="A1000" s="101">
        <v>44435</v>
      </c>
      <c r="B1000" s="102">
        <v>16705.2</v>
      </c>
    </row>
    <row r="1001" spans="1:2" x14ac:dyDescent="0.3">
      <c r="A1001" s="101">
        <v>44434</v>
      </c>
      <c r="B1001" s="102">
        <v>16636.900000000001</v>
      </c>
    </row>
    <row r="1002" spans="1:2" x14ac:dyDescent="0.3">
      <c r="A1002" s="101">
        <v>44433</v>
      </c>
      <c r="B1002" s="102">
        <v>16634.650000000001</v>
      </c>
    </row>
    <row r="1003" spans="1:2" x14ac:dyDescent="0.3">
      <c r="A1003" s="101">
        <v>44432</v>
      </c>
      <c r="B1003" s="102">
        <v>16624.599999999999</v>
      </c>
    </row>
    <row r="1004" spans="1:2" x14ac:dyDescent="0.3">
      <c r="A1004" s="101">
        <v>44431</v>
      </c>
      <c r="B1004" s="102">
        <v>16496.45</v>
      </c>
    </row>
    <row r="1005" spans="1:2" x14ac:dyDescent="0.3">
      <c r="A1005" s="101">
        <v>44428</v>
      </c>
      <c r="B1005" s="102">
        <v>16450.5</v>
      </c>
    </row>
    <row r="1006" spans="1:2" x14ac:dyDescent="0.3">
      <c r="A1006" s="101">
        <v>44426</v>
      </c>
      <c r="B1006" s="102">
        <v>16568.849999999999</v>
      </c>
    </row>
    <row r="1007" spans="1:2" x14ac:dyDescent="0.3">
      <c r="A1007" s="101">
        <v>44425</v>
      </c>
      <c r="B1007" s="102">
        <v>16614.599999999999</v>
      </c>
    </row>
    <row r="1008" spans="1:2" x14ac:dyDescent="0.3">
      <c r="A1008" s="101">
        <v>44424</v>
      </c>
      <c r="B1008" s="102">
        <v>16563.05</v>
      </c>
    </row>
    <row r="1009" spans="1:2" x14ac:dyDescent="0.3">
      <c r="A1009" s="101">
        <v>44421</v>
      </c>
      <c r="B1009" s="102">
        <v>16529.099999999999</v>
      </c>
    </row>
    <row r="1010" spans="1:2" x14ac:dyDescent="0.3">
      <c r="A1010" s="101">
        <v>44420</v>
      </c>
      <c r="B1010" s="102">
        <v>16364.4</v>
      </c>
    </row>
    <row r="1011" spans="1:2" x14ac:dyDescent="0.3">
      <c r="A1011" s="101">
        <v>44419</v>
      </c>
      <c r="B1011" s="102">
        <v>16282.25</v>
      </c>
    </row>
    <row r="1012" spans="1:2" x14ac:dyDescent="0.3">
      <c r="A1012" s="101">
        <v>44418</v>
      </c>
      <c r="B1012" s="102">
        <v>16280.1</v>
      </c>
    </row>
    <row r="1013" spans="1:2" x14ac:dyDescent="0.3">
      <c r="A1013" s="101">
        <v>44417</v>
      </c>
      <c r="B1013" s="102">
        <v>16258.25</v>
      </c>
    </row>
    <row r="1014" spans="1:2" x14ac:dyDescent="0.3">
      <c r="A1014" s="101">
        <v>44414</v>
      </c>
      <c r="B1014" s="102">
        <v>16238.2</v>
      </c>
    </row>
    <row r="1015" spans="1:2" x14ac:dyDescent="0.3">
      <c r="A1015" s="101">
        <v>44413</v>
      </c>
      <c r="B1015" s="102">
        <v>16294.6</v>
      </c>
    </row>
    <row r="1016" spans="1:2" x14ac:dyDescent="0.3">
      <c r="A1016" s="101">
        <v>44412</v>
      </c>
      <c r="B1016" s="102">
        <v>16258.8</v>
      </c>
    </row>
    <row r="1017" spans="1:2" x14ac:dyDescent="0.3">
      <c r="A1017" s="101">
        <v>44411</v>
      </c>
      <c r="B1017" s="102">
        <v>16130.75</v>
      </c>
    </row>
    <row r="1018" spans="1:2" x14ac:dyDescent="0.3">
      <c r="A1018" s="101">
        <v>44410</v>
      </c>
      <c r="B1018" s="102">
        <v>15885.15</v>
      </c>
    </row>
    <row r="1019" spans="1:2" x14ac:dyDescent="0.3">
      <c r="A1019" s="101">
        <v>44407</v>
      </c>
      <c r="B1019" s="102">
        <v>15763.05</v>
      </c>
    </row>
    <row r="1020" spans="1:2" x14ac:dyDescent="0.3">
      <c r="A1020" s="101">
        <v>44406</v>
      </c>
      <c r="B1020" s="102">
        <v>15778.45</v>
      </c>
    </row>
    <row r="1021" spans="1:2" x14ac:dyDescent="0.3">
      <c r="A1021" s="101">
        <v>44405</v>
      </c>
      <c r="B1021" s="102">
        <v>15709.4</v>
      </c>
    </row>
    <row r="1022" spans="1:2" x14ac:dyDescent="0.3">
      <c r="A1022" s="101">
        <v>44404</v>
      </c>
      <c r="B1022" s="102">
        <v>15746.45</v>
      </c>
    </row>
    <row r="1023" spans="1:2" x14ac:dyDescent="0.3">
      <c r="A1023" s="101">
        <v>44403</v>
      </c>
      <c r="B1023" s="102">
        <v>15824.45</v>
      </c>
    </row>
    <row r="1024" spans="1:2" x14ac:dyDescent="0.3">
      <c r="A1024" s="101">
        <v>44400</v>
      </c>
      <c r="B1024" s="102">
        <v>15856.05</v>
      </c>
    </row>
    <row r="1025" spans="1:2" x14ac:dyDescent="0.3">
      <c r="A1025" s="101">
        <v>44399</v>
      </c>
      <c r="B1025" s="102">
        <v>15824.05</v>
      </c>
    </row>
    <row r="1026" spans="1:2" x14ac:dyDescent="0.3">
      <c r="A1026" s="101">
        <v>44397</v>
      </c>
      <c r="B1026" s="102">
        <v>15632.1</v>
      </c>
    </row>
    <row r="1027" spans="1:2" x14ac:dyDescent="0.3">
      <c r="A1027" s="101">
        <v>44396</v>
      </c>
      <c r="B1027" s="102">
        <v>15752.4</v>
      </c>
    </row>
    <row r="1028" spans="1:2" x14ac:dyDescent="0.3">
      <c r="A1028" s="101">
        <v>44393</v>
      </c>
      <c r="B1028" s="102">
        <v>15923.4</v>
      </c>
    </row>
    <row r="1029" spans="1:2" x14ac:dyDescent="0.3">
      <c r="A1029" s="101">
        <v>44392</v>
      </c>
      <c r="B1029" s="102">
        <v>15924.2</v>
      </c>
    </row>
    <row r="1030" spans="1:2" x14ac:dyDescent="0.3">
      <c r="A1030" s="101">
        <v>44391</v>
      </c>
      <c r="B1030" s="102">
        <v>15853.95</v>
      </c>
    </row>
    <row r="1031" spans="1:2" x14ac:dyDescent="0.3">
      <c r="A1031" s="101">
        <v>44390</v>
      </c>
      <c r="B1031" s="102">
        <v>15812.35</v>
      </c>
    </row>
    <row r="1032" spans="1:2" x14ac:dyDescent="0.3">
      <c r="A1032" s="101">
        <v>44389</v>
      </c>
      <c r="B1032" s="102">
        <v>15692.6</v>
      </c>
    </row>
    <row r="1033" spans="1:2" x14ac:dyDescent="0.3">
      <c r="A1033" s="101">
        <v>44386</v>
      </c>
      <c r="B1033" s="102">
        <v>15689.8</v>
      </c>
    </row>
    <row r="1034" spans="1:2" x14ac:dyDescent="0.3">
      <c r="A1034" s="101">
        <v>44385</v>
      </c>
      <c r="B1034" s="102">
        <v>15727.9</v>
      </c>
    </row>
    <row r="1035" spans="1:2" x14ac:dyDescent="0.3">
      <c r="A1035" s="101">
        <v>44384</v>
      </c>
      <c r="B1035" s="102">
        <v>15879.65</v>
      </c>
    </row>
    <row r="1036" spans="1:2" x14ac:dyDescent="0.3">
      <c r="A1036" s="101">
        <v>44383</v>
      </c>
      <c r="B1036" s="102">
        <v>15818.25</v>
      </c>
    </row>
    <row r="1037" spans="1:2" x14ac:dyDescent="0.3">
      <c r="A1037" s="101">
        <v>44382</v>
      </c>
      <c r="B1037" s="102">
        <v>15834.35</v>
      </c>
    </row>
    <row r="1038" spans="1:2" x14ac:dyDescent="0.3">
      <c r="A1038" s="101">
        <v>44379</v>
      </c>
      <c r="B1038" s="102">
        <v>15722.2</v>
      </c>
    </row>
    <row r="1039" spans="1:2" x14ac:dyDescent="0.3">
      <c r="A1039" s="101">
        <v>44378</v>
      </c>
      <c r="B1039" s="102">
        <v>15680</v>
      </c>
    </row>
    <row r="1040" spans="1:2" x14ac:dyDescent="0.3">
      <c r="A1040" s="101">
        <v>44377</v>
      </c>
      <c r="B1040" s="102">
        <v>15721.5</v>
      </c>
    </row>
    <row r="1041" spans="1:2" x14ac:dyDescent="0.3">
      <c r="A1041" s="101">
        <v>44376</v>
      </c>
      <c r="B1041" s="102">
        <v>15748.45</v>
      </c>
    </row>
    <row r="1042" spans="1:2" x14ac:dyDescent="0.3">
      <c r="A1042" s="101">
        <v>44375</v>
      </c>
      <c r="B1042" s="102">
        <v>15814.7</v>
      </c>
    </row>
    <row r="1043" spans="1:2" x14ac:dyDescent="0.3">
      <c r="A1043" s="101">
        <v>44372</v>
      </c>
      <c r="B1043" s="102">
        <v>15860.35</v>
      </c>
    </row>
    <row r="1044" spans="1:2" x14ac:dyDescent="0.3">
      <c r="A1044" s="101">
        <v>44371</v>
      </c>
      <c r="B1044" s="102">
        <v>15790.45</v>
      </c>
    </row>
    <row r="1045" spans="1:2" x14ac:dyDescent="0.3">
      <c r="A1045" s="101">
        <v>44370</v>
      </c>
      <c r="B1045" s="102">
        <v>15686.95</v>
      </c>
    </row>
    <row r="1046" spans="1:2" x14ac:dyDescent="0.3">
      <c r="A1046" s="101">
        <v>44369</v>
      </c>
      <c r="B1046" s="102">
        <v>15772.75</v>
      </c>
    </row>
    <row r="1047" spans="1:2" x14ac:dyDescent="0.3">
      <c r="A1047" s="101">
        <v>44368</v>
      </c>
      <c r="B1047" s="102">
        <v>15746.5</v>
      </c>
    </row>
    <row r="1048" spans="1:2" x14ac:dyDescent="0.3">
      <c r="A1048" s="101">
        <v>44365</v>
      </c>
      <c r="B1048" s="102">
        <v>15683.35</v>
      </c>
    </row>
    <row r="1049" spans="1:2" x14ac:dyDescent="0.3">
      <c r="A1049" s="101">
        <v>44364</v>
      </c>
      <c r="B1049" s="102">
        <v>15691.4</v>
      </c>
    </row>
    <row r="1050" spans="1:2" x14ac:dyDescent="0.3">
      <c r="A1050" s="101">
        <v>44363</v>
      </c>
      <c r="B1050" s="102">
        <v>15767.55</v>
      </c>
    </row>
    <row r="1051" spans="1:2" x14ac:dyDescent="0.3">
      <c r="A1051" s="101">
        <v>44362</v>
      </c>
      <c r="B1051" s="102">
        <v>15869.25</v>
      </c>
    </row>
    <row r="1052" spans="1:2" x14ac:dyDescent="0.3">
      <c r="A1052" s="101">
        <v>44361</v>
      </c>
      <c r="B1052" s="102">
        <v>15811.85</v>
      </c>
    </row>
    <row r="1053" spans="1:2" x14ac:dyDescent="0.3">
      <c r="A1053" s="101">
        <v>44358</v>
      </c>
      <c r="B1053" s="102">
        <v>15799.35</v>
      </c>
    </row>
    <row r="1054" spans="1:2" x14ac:dyDescent="0.3">
      <c r="A1054" s="101">
        <v>44357</v>
      </c>
      <c r="B1054" s="102">
        <v>15737.75</v>
      </c>
    </row>
    <row r="1055" spans="1:2" x14ac:dyDescent="0.3">
      <c r="A1055" s="101">
        <v>44356</v>
      </c>
      <c r="B1055" s="102">
        <v>15635.35</v>
      </c>
    </row>
    <row r="1056" spans="1:2" x14ac:dyDescent="0.3">
      <c r="A1056" s="101">
        <v>44355</v>
      </c>
      <c r="B1056" s="102">
        <v>15740.1</v>
      </c>
    </row>
    <row r="1057" spans="1:2" x14ac:dyDescent="0.3">
      <c r="A1057" s="101">
        <v>44354</v>
      </c>
      <c r="B1057" s="102">
        <v>15751.65</v>
      </c>
    </row>
    <row r="1058" spans="1:2" x14ac:dyDescent="0.3">
      <c r="A1058" s="101">
        <v>44351</v>
      </c>
      <c r="B1058" s="102">
        <v>15670.25</v>
      </c>
    </row>
    <row r="1059" spans="1:2" x14ac:dyDescent="0.3">
      <c r="A1059" s="101">
        <v>44350</v>
      </c>
      <c r="B1059" s="102">
        <v>15690.35</v>
      </c>
    </row>
    <row r="1060" spans="1:2" x14ac:dyDescent="0.3">
      <c r="A1060" s="101">
        <v>44349</v>
      </c>
      <c r="B1060" s="102">
        <v>15576.2</v>
      </c>
    </row>
    <row r="1061" spans="1:2" x14ac:dyDescent="0.3">
      <c r="A1061" s="101">
        <v>44348</v>
      </c>
      <c r="B1061" s="102">
        <v>15574.85</v>
      </c>
    </row>
    <row r="1062" spans="1:2" x14ac:dyDescent="0.3">
      <c r="A1062" s="101">
        <v>44347</v>
      </c>
      <c r="B1062" s="102">
        <v>15582.8</v>
      </c>
    </row>
    <row r="1063" spans="1:2" x14ac:dyDescent="0.3">
      <c r="A1063" s="101">
        <v>44344</v>
      </c>
      <c r="B1063" s="102">
        <v>15435.65</v>
      </c>
    </row>
    <row r="1064" spans="1:2" x14ac:dyDescent="0.3">
      <c r="A1064" s="101">
        <v>44343</v>
      </c>
      <c r="B1064" s="102">
        <v>15337.85</v>
      </c>
    </row>
    <row r="1065" spans="1:2" x14ac:dyDescent="0.3">
      <c r="A1065" s="101">
        <v>44342</v>
      </c>
      <c r="B1065" s="102">
        <v>15301.45</v>
      </c>
    </row>
    <row r="1066" spans="1:2" x14ac:dyDescent="0.3">
      <c r="A1066" s="101">
        <v>44341</v>
      </c>
      <c r="B1066" s="102">
        <v>15208.45</v>
      </c>
    </row>
    <row r="1067" spans="1:2" x14ac:dyDescent="0.3">
      <c r="A1067" s="101">
        <v>44340</v>
      </c>
      <c r="B1067" s="102">
        <v>15197.7</v>
      </c>
    </row>
    <row r="1068" spans="1:2" x14ac:dyDescent="0.3">
      <c r="A1068" s="101">
        <v>44337</v>
      </c>
      <c r="B1068" s="102">
        <v>15175.3</v>
      </c>
    </row>
    <row r="1069" spans="1:2" x14ac:dyDescent="0.3">
      <c r="A1069" s="101">
        <v>44336</v>
      </c>
      <c r="B1069" s="102">
        <v>14906.05</v>
      </c>
    </row>
    <row r="1070" spans="1:2" x14ac:dyDescent="0.3">
      <c r="A1070" s="101">
        <v>44335</v>
      </c>
      <c r="B1070" s="102">
        <v>15030.15</v>
      </c>
    </row>
    <row r="1071" spans="1:2" x14ac:dyDescent="0.3">
      <c r="A1071" s="101">
        <v>44334</v>
      </c>
      <c r="B1071" s="102">
        <v>15108.1</v>
      </c>
    </row>
    <row r="1072" spans="1:2" x14ac:dyDescent="0.3">
      <c r="A1072" s="101">
        <v>44333</v>
      </c>
      <c r="B1072" s="102">
        <v>14923.15</v>
      </c>
    </row>
    <row r="1073" spans="1:2" x14ac:dyDescent="0.3">
      <c r="A1073" s="101">
        <v>44330</v>
      </c>
      <c r="B1073" s="102">
        <v>14677.8</v>
      </c>
    </row>
    <row r="1074" spans="1:2" x14ac:dyDescent="0.3">
      <c r="A1074" s="101">
        <v>44328</v>
      </c>
      <c r="B1074" s="102">
        <v>14696.5</v>
      </c>
    </row>
    <row r="1075" spans="1:2" x14ac:dyDescent="0.3">
      <c r="A1075" s="101">
        <v>44327</v>
      </c>
      <c r="B1075" s="102">
        <v>14850.75</v>
      </c>
    </row>
    <row r="1076" spans="1:2" x14ac:dyDescent="0.3">
      <c r="A1076" s="101">
        <v>44326</v>
      </c>
      <c r="B1076" s="102">
        <v>14942.35</v>
      </c>
    </row>
    <row r="1077" spans="1:2" x14ac:dyDescent="0.3">
      <c r="A1077" s="101">
        <v>44323</v>
      </c>
      <c r="B1077" s="102">
        <v>14823.15</v>
      </c>
    </row>
    <row r="1078" spans="1:2" x14ac:dyDescent="0.3">
      <c r="A1078" s="101">
        <v>44322</v>
      </c>
      <c r="B1078" s="102">
        <v>14724.8</v>
      </c>
    </row>
    <row r="1079" spans="1:2" x14ac:dyDescent="0.3">
      <c r="A1079" s="101">
        <v>44321</v>
      </c>
      <c r="B1079" s="102">
        <v>14617.85</v>
      </c>
    </row>
    <row r="1080" spans="1:2" x14ac:dyDescent="0.3">
      <c r="A1080" s="101">
        <v>44320</v>
      </c>
      <c r="B1080" s="102">
        <v>14496.5</v>
      </c>
    </row>
    <row r="1081" spans="1:2" x14ac:dyDescent="0.3">
      <c r="A1081" s="101">
        <v>44319</v>
      </c>
      <c r="B1081" s="102">
        <v>14634.15</v>
      </c>
    </row>
    <row r="1082" spans="1:2" x14ac:dyDescent="0.3">
      <c r="A1082" s="101">
        <v>44316</v>
      </c>
      <c r="B1082" s="102">
        <v>14631.1</v>
      </c>
    </row>
    <row r="1083" spans="1:2" x14ac:dyDescent="0.3">
      <c r="A1083" s="101">
        <v>44315</v>
      </c>
      <c r="B1083" s="102">
        <v>14894.9</v>
      </c>
    </row>
    <row r="1084" spans="1:2" x14ac:dyDescent="0.3">
      <c r="A1084" s="101">
        <v>44314</v>
      </c>
      <c r="B1084" s="102">
        <v>14864.55</v>
      </c>
    </row>
    <row r="1085" spans="1:2" x14ac:dyDescent="0.3">
      <c r="A1085" s="101">
        <v>44313</v>
      </c>
      <c r="B1085" s="102">
        <v>14653.05</v>
      </c>
    </row>
    <row r="1086" spans="1:2" x14ac:dyDescent="0.3">
      <c r="A1086" s="101">
        <v>44312</v>
      </c>
      <c r="B1086" s="102">
        <v>14485</v>
      </c>
    </row>
    <row r="1087" spans="1:2" x14ac:dyDescent="0.3">
      <c r="A1087" s="101">
        <v>44309</v>
      </c>
      <c r="B1087" s="102">
        <v>14341.35</v>
      </c>
    </row>
    <row r="1088" spans="1:2" x14ac:dyDescent="0.3">
      <c r="A1088" s="101">
        <v>44308</v>
      </c>
      <c r="B1088" s="102">
        <v>14406.15</v>
      </c>
    </row>
    <row r="1089" spans="1:2" x14ac:dyDescent="0.3">
      <c r="A1089" s="101">
        <v>44306</v>
      </c>
      <c r="B1089" s="102">
        <v>14296.4</v>
      </c>
    </row>
    <row r="1090" spans="1:2" x14ac:dyDescent="0.3">
      <c r="A1090" s="101">
        <v>44305</v>
      </c>
      <c r="B1090" s="102">
        <v>14359.45</v>
      </c>
    </row>
    <row r="1091" spans="1:2" x14ac:dyDescent="0.3">
      <c r="A1091" s="101">
        <v>44302</v>
      </c>
      <c r="B1091" s="102">
        <v>14617.85</v>
      </c>
    </row>
    <row r="1092" spans="1:2" x14ac:dyDescent="0.3">
      <c r="A1092" s="101">
        <v>44301</v>
      </c>
      <c r="B1092" s="102">
        <v>14581.45</v>
      </c>
    </row>
    <row r="1093" spans="1:2" x14ac:dyDescent="0.3">
      <c r="A1093" s="101">
        <v>44299</v>
      </c>
      <c r="B1093" s="102">
        <v>14504.8</v>
      </c>
    </row>
    <row r="1094" spans="1:2" x14ac:dyDescent="0.3">
      <c r="A1094" s="101">
        <v>44298</v>
      </c>
      <c r="B1094" s="102">
        <v>14310.8</v>
      </c>
    </row>
    <row r="1095" spans="1:2" x14ac:dyDescent="0.3">
      <c r="A1095" s="101">
        <v>44295</v>
      </c>
      <c r="B1095" s="102">
        <v>14834.85</v>
      </c>
    </row>
    <row r="1096" spans="1:2" x14ac:dyDescent="0.3">
      <c r="A1096" s="101">
        <v>44294</v>
      </c>
      <c r="B1096" s="102">
        <v>14873.8</v>
      </c>
    </row>
    <row r="1097" spans="1:2" x14ac:dyDescent="0.3">
      <c r="A1097" s="101">
        <v>44293</v>
      </c>
      <c r="B1097" s="102">
        <v>14819.05</v>
      </c>
    </row>
    <row r="1098" spans="1:2" x14ac:dyDescent="0.3">
      <c r="A1098" s="101">
        <v>44292</v>
      </c>
      <c r="B1098" s="102">
        <v>14683.5</v>
      </c>
    </row>
    <row r="1099" spans="1:2" x14ac:dyDescent="0.3">
      <c r="A1099" s="101">
        <v>44291</v>
      </c>
      <c r="B1099" s="102">
        <v>14637.8</v>
      </c>
    </row>
    <row r="1100" spans="1:2" x14ac:dyDescent="0.3">
      <c r="A1100" s="101">
        <v>44287</v>
      </c>
      <c r="B1100" s="102">
        <v>14867.35</v>
      </c>
    </row>
    <row r="1101" spans="1:2" x14ac:dyDescent="0.3">
      <c r="A1101" s="101">
        <v>44286</v>
      </c>
      <c r="B1101" s="102">
        <v>14690.7</v>
      </c>
    </row>
    <row r="1102" spans="1:2" x14ac:dyDescent="0.3">
      <c r="A1102" s="101">
        <v>44285</v>
      </c>
      <c r="B1102" s="102">
        <v>14845.1</v>
      </c>
    </row>
    <row r="1103" spans="1:2" x14ac:dyDescent="0.3">
      <c r="A1103" s="101">
        <v>44281</v>
      </c>
      <c r="B1103" s="102">
        <v>14507.3</v>
      </c>
    </row>
    <row r="1104" spans="1:2" x14ac:dyDescent="0.3">
      <c r="A1104" s="101">
        <v>44280</v>
      </c>
      <c r="B1104" s="102">
        <v>14324.9</v>
      </c>
    </row>
    <row r="1105" spans="1:2" x14ac:dyDescent="0.3">
      <c r="A1105" s="101">
        <v>44279</v>
      </c>
      <c r="B1105" s="102">
        <v>14549.4</v>
      </c>
    </row>
    <row r="1106" spans="1:2" x14ac:dyDescent="0.3">
      <c r="A1106" s="101">
        <v>44278</v>
      </c>
      <c r="B1106" s="102">
        <v>14814.75</v>
      </c>
    </row>
    <row r="1107" spans="1:2" x14ac:dyDescent="0.3">
      <c r="A1107" s="101">
        <v>44277</v>
      </c>
      <c r="B1107" s="102">
        <v>14736.4</v>
      </c>
    </row>
    <row r="1108" spans="1:2" x14ac:dyDescent="0.3">
      <c r="A1108" s="101">
        <v>44274</v>
      </c>
      <c r="B1108" s="102">
        <v>14744</v>
      </c>
    </row>
    <row r="1109" spans="1:2" x14ac:dyDescent="0.3">
      <c r="A1109" s="101">
        <v>44273</v>
      </c>
      <c r="B1109" s="102">
        <v>14557.85</v>
      </c>
    </row>
    <row r="1110" spans="1:2" x14ac:dyDescent="0.3">
      <c r="A1110" s="101">
        <v>44272</v>
      </c>
      <c r="B1110" s="102">
        <v>14721.3</v>
      </c>
    </row>
    <row r="1111" spans="1:2" x14ac:dyDescent="0.3">
      <c r="A1111" s="101">
        <v>44271</v>
      </c>
      <c r="B1111" s="102">
        <v>14910.45</v>
      </c>
    </row>
    <row r="1112" spans="1:2" x14ac:dyDescent="0.3">
      <c r="A1112" s="101">
        <v>44270</v>
      </c>
      <c r="B1112" s="102">
        <v>14929.5</v>
      </c>
    </row>
    <row r="1113" spans="1:2" x14ac:dyDescent="0.3">
      <c r="A1113" s="101">
        <v>44267</v>
      </c>
      <c r="B1113" s="102">
        <v>15030.95</v>
      </c>
    </row>
    <row r="1114" spans="1:2" x14ac:dyDescent="0.3">
      <c r="A1114" s="101">
        <v>44265</v>
      </c>
      <c r="B1114" s="102">
        <v>15174.8</v>
      </c>
    </row>
    <row r="1115" spans="1:2" x14ac:dyDescent="0.3">
      <c r="A1115" s="101">
        <v>44264</v>
      </c>
      <c r="B1115" s="102">
        <v>15098.4</v>
      </c>
    </row>
    <row r="1116" spans="1:2" x14ac:dyDescent="0.3">
      <c r="A1116" s="101">
        <v>44263</v>
      </c>
      <c r="B1116" s="102">
        <v>14956.2</v>
      </c>
    </row>
    <row r="1117" spans="1:2" x14ac:dyDescent="0.3">
      <c r="A1117" s="101">
        <v>44260</v>
      </c>
      <c r="B1117" s="102">
        <v>14938.1</v>
      </c>
    </row>
    <row r="1118" spans="1:2" x14ac:dyDescent="0.3">
      <c r="A1118" s="101">
        <v>44259</v>
      </c>
      <c r="B1118" s="102">
        <v>15080.75</v>
      </c>
    </row>
    <row r="1119" spans="1:2" x14ac:dyDescent="0.3">
      <c r="A1119" s="101">
        <v>44258</v>
      </c>
      <c r="B1119" s="102">
        <v>15245.6</v>
      </c>
    </row>
    <row r="1120" spans="1:2" x14ac:dyDescent="0.3">
      <c r="A1120" s="101">
        <v>44257</v>
      </c>
      <c r="B1120" s="102">
        <v>14919.1</v>
      </c>
    </row>
    <row r="1121" spans="1:2" x14ac:dyDescent="0.3">
      <c r="A1121" s="101">
        <v>44256</v>
      </c>
      <c r="B1121" s="102">
        <v>14761.55</v>
      </c>
    </row>
    <row r="1122" spans="1:2" x14ac:dyDescent="0.3">
      <c r="A1122" s="101">
        <v>44253</v>
      </c>
      <c r="B1122" s="102">
        <v>14529.15</v>
      </c>
    </row>
    <row r="1123" spans="1:2" x14ac:dyDescent="0.3">
      <c r="A1123" s="101">
        <v>44252</v>
      </c>
      <c r="B1123" s="102">
        <v>15097.35</v>
      </c>
    </row>
    <row r="1124" spans="1:2" x14ac:dyDescent="0.3">
      <c r="A1124" s="101">
        <v>44251</v>
      </c>
      <c r="B1124" s="102">
        <v>14982</v>
      </c>
    </row>
    <row r="1125" spans="1:2" x14ac:dyDescent="0.3">
      <c r="A1125" s="101">
        <v>44250</v>
      </c>
      <c r="B1125" s="102">
        <v>14707.8</v>
      </c>
    </row>
    <row r="1126" spans="1:2" x14ac:dyDescent="0.3">
      <c r="A1126" s="101">
        <v>44249</v>
      </c>
      <c r="B1126" s="102">
        <v>14675.7</v>
      </c>
    </row>
    <row r="1127" spans="1:2" x14ac:dyDescent="0.3">
      <c r="A1127" s="101">
        <v>44246</v>
      </c>
      <c r="B1127" s="102">
        <v>14981.75</v>
      </c>
    </row>
    <row r="1128" spans="1:2" x14ac:dyDescent="0.3">
      <c r="A1128" s="101">
        <v>44245</v>
      </c>
      <c r="B1128" s="102">
        <v>15118.95</v>
      </c>
    </row>
    <row r="1129" spans="1:2" x14ac:dyDescent="0.3">
      <c r="A1129" s="101">
        <v>44244</v>
      </c>
      <c r="B1129" s="102">
        <v>15208.9</v>
      </c>
    </row>
    <row r="1130" spans="1:2" x14ac:dyDescent="0.3">
      <c r="A1130" s="101">
        <v>44243</v>
      </c>
      <c r="B1130" s="102">
        <v>15313.45</v>
      </c>
    </row>
    <row r="1131" spans="1:2" x14ac:dyDescent="0.3">
      <c r="A1131" s="101">
        <v>44242</v>
      </c>
      <c r="B1131" s="102">
        <v>15314.7</v>
      </c>
    </row>
    <row r="1132" spans="1:2" x14ac:dyDescent="0.3">
      <c r="A1132" s="101">
        <v>44239</v>
      </c>
      <c r="B1132" s="102">
        <v>15163.3</v>
      </c>
    </row>
    <row r="1133" spans="1:2" x14ac:dyDescent="0.3">
      <c r="A1133" s="101">
        <v>44238</v>
      </c>
      <c r="B1133" s="102">
        <v>15173.3</v>
      </c>
    </row>
    <row r="1134" spans="1:2" x14ac:dyDescent="0.3">
      <c r="A1134" s="101">
        <v>44237</v>
      </c>
      <c r="B1134" s="102">
        <v>15106.5</v>
      </c>
    </row>
    <row r="1135" spans="1:2" x14ac:dyDescent="0.3">
      <c r="A1135" s="101">
        <v>44236</v>
      </c>
      <c r="B1135" s="102">
        <v>15109.3</v>
      </c>
    </row>
    <row r="1136" spans="1:2" x14ac:dyDescent="0.3">
      <c r="A1136" s="101">
        <v>44235</v>
      </c>
      <c r="B1136" s="102">
        <v>15115.8</v>
      </c>
    </row>
    <row r="1137" spans="1:2" x14ac:dyDescent="0.3">
      <c r="A1137" s="101">
        <v>44232</v>
      </c>
      <c r="B1137" s="102">
        <v>14924.25</v>
      </c>
    </row>
    <row r="1138" spans="1:2" x14ac:dyDescent="0.3">
      <c r="A1138" s="101">
        <v>44231</v>
      </c>
      <c r="B1138" s="102">
        <v>14895.65</v>
      </c>
    </row>
    <row r="1139" spans="1:2" x14ac:dyDescent="0.3">
      <c r="A1139" s="101">
        <v>44230</v>
      </c>
      <c r="B1139" s="102">
        <v>14789.95</v>
      </c>
    </row>
    <row r="1140" spans="1:2" x14ac:dyDescent="0.3">
      <c r="A1140" s="101">
        <v>44229</v>
      </c>
      <c r="B1140" s="102">
        <v>14647.85</v>
      </c>
    </row>
    <row r="1141" spans="1:2" x14ac:dyDescent="0.3">
      <c r="A1141" s="101">
        <v>44228</v>
      </c>
      <c r="B1141" s="102">
        <v>14281.2</v>
      </c>
    </row>
    <row r="1142" spans="1:2" x14ac:dyDescent="0.3">
      <c r="A1142" s="101">
        <v>44225</v>
      </c>
      <c r="B1142" s="102">
        <v>13634.6</v>
      </c>
    </row>
    <row r="1143" spans="1:2" x14ac:dyDescent="0.3">
      <c r="A1143" s="101">
        <v>44224</v>
      </c>
      <c r="B1143" s="102">
        <v>13817.55</v>
      </c>
    </row>
    <row r="1144" spans="1:2" x14ac:dyDescent="0.3">
      <c r="A1144" s="101">
        <v>44223</v>
      </c>
      <c r="B1144" s="102">
        <v>13967.5</v>
      </c>
    </row>
    <row r="1145" spans="1:2" x14ac:dyDescent="0.3">
      <c r="A1145" s="101">
        <v>44221</v>
      </c>
      <c r="B1145" s="102">
        <v>14238.9</v>
      </c>
    </row>
    <row r="1146" spans="1:2" x14ac:dyDescent="0.3">
      <c r="A1146" s="101">
        <v>44218</v>
      </c>
      <c r="B1146" s="102">
        <v>14371.9</v>
      </c>
    </row>
    <row r="1147" spans="1:2" x14ac:dyDescent="0.3">
      <c r="A1147" s="101">
        <v>44217</v>
      </c>
      <c r="B1147" s="102">
        <v>14590.35</v>
      </c>
    </row>
    <row r="1148" spans="1:2" x14ac:dyDescent="0.3">
      <c r="A1148" s="101">
        <v>44216</v>
      </c>
      <c r="B1148" s="102">
        <v>14644.7</v>
      </c>
    </row>
    <row r="1149" spans="1:2" x14ac:dyDescent="0.3">
      <c r="A1149" s="101">
        <v>44215</v>
      </c>
      <c r="B1149" s="102">
        <v>14521.15</v>
      </c>
    </row>
    <row r="1150" spans="1:2" x14ac:dyDescent="0.3">
      <c r="A1150" s="101">
        <v>44214</v>
      </c>
      <c r="B1150" s="102">
        <v>14281.3</v>
      </c>
    </row>
    <row r="1151" spans="1:2" x14ac:dyDescent="0.3">
      <c r="A1151" s="101">
        <v>44211</v>
      </c>
      <c r="B1151" s="102">
        <v>14433.7</v>
      </c>
    </row>
    <row r="1152" spans="1:2" x14ac:dyDescent="0.3">
      <c r="A1152" s="101">
        <v>44210</v>
      </c>
      <c r="B1152" s="102">
        <v>14595.6</v>
      </c>
    </row>
    <row r="1153" spans="1:2" x14ac:dyDescent="0.3">
      <c r="A1153" s="101">
        <v>44209</v>
      </c>
      <c r="B1153" s="102">
        <v>14564.85</v>
      </c>
    </row>
    <row r="1154" spans="1:2" x14ac:dyDescent="0.3">
      <c r="A1154" s="101">
        <v>44208</v>
      </c>
      <c r="B1154" s="102">
        <v>14563.45</v>
      </c>
    </row>
    <row r="1155" spans="1:2" x14ac:dyDescent="0.3">
      <c r="A1155" s="101">
        <v>44207</v>
      </c>
      <c r="B1155" s="102">
        <v>14484.75</v>
      </c>
    </row>
    <row r="1156" spans="1:2" x14ac:dyDescent="0.3">
      <c r="A1156" s="101">
        <v>44204</v>
      </c>
      <c r="B1156" s="102">
        <v>14347.25</v>
      </c>
    </row>
    <row r="1157" spans="1:2" x14ac:dyDescent="0.3">
      <c r="A1157" s="101">
        <v>44203</v>
      </c>
      <c r="B1157" s="102">
        <v>14137.35</v>
      </c>
    </row>
    <row r="1158" spans="1:2" x14ac:dyDescent="0.3">
      <c r="A1158" s="101">
        <v>44202</v>
      </c>
      <c r="B1158" s="102">
        <v>14146.25</v>
      </c>
    </row>
    <row r="1159" spans="1:2" x14ac:dyDescent="0.3">
      <c r="A1159" s="101">
        <v>44201</v>
      </c>
      <c r="B1159" s="102">
        <v>14199.5</v>
      </c>
    </row>
    <row r="1160" spans="1:2" x14ac:dyDescent="0.3">
      <c r="A1160" s="101">
        <v>44200</v>
      </c>
      <c r="B1160" s="102">
        <v>14132.9</v>
      </c>
    </row>
    <row r="1161" spans="1:2" x14ac:dyDescent="0.3">
      <c r="A1161" s="101">
        <v>44197</v>
      </c>
      <c r="B1161" s="102">
        <v>14018.5</v>
      </c>
    </row>
    <row r="1162" spans="1:2" x14ac:dyDescent="0.3">
      <c r="A1162" s="101">
        <v>44196</v>
      </c>
      <c r="B1162" s="102">
        <v>13981.75</v>
      </c>
    </row>
    <row r="1163" spans="1:2" x14ac:dyDescent="0.3">
      <c r="A1163" s="101">
        <v>44195</v>
      </c>
      <c r="B1163" s="102">
        <v>13981.95</v>
      </c>
    </row>
    <row r="1164" spans="1:2" x14ac:dyDescent="0.3">
      <c r="A1164" s="101">
        <v>44194</v>
      </c>
      <c r="B1164" s="102">
        <v>13932.6</v>
      </c>
    </row>
    <row r="1165" spans="1:2" x14ac:dyDescent="0.3">
      <c r="A1165" s="101">
        <v>44193</v>
      </c>
      <c r="B1165" s="102">
        <v>13873.2</v>
      </c>
    </row>
    <row r="1166" spans="1:2" x14ac:dyDescent="0.3">
      <c r="A1166" s="101">
        <v>44189</v>
      </c>
      <c r="B1166" s="102">
        <v>13749.25</v>
      </c>
    </row>
    <row r="1167" spans="1:2" x14ac:dyDescent="0.3">
      <c r="A1167" s="101">
        <v>44188</v>
      </c>
      <c r="B1167" s="102">
        <v>13601.1</v>
      </c>
    </row>
    <row r="1168" spans="1:2" x14ac:dyDescent="0.3">
      <c r="A1168" s="101">
        <v>44187</v>
      </c>
      <c r="B1168" s="102">
        <v>13466.3</v>
      </c>
    </row>
    <row r="1169" spans="1:2" x14ac:dyDescent="0.3">
      <c r="A1169" s="101">
        <v>44186</v>
      </c>
      <c r="B1169" s="102">
        <v>13328.4</v>
      </c>
    </row>
    <row r="1170" spans="1:2" x14ac:dyDescent="0.3">
      <c r="A1170" s="101">
        <v>44183</v>
      </c>
      <c r="B1170" s="102">
        <v>13760.55</v>
      </c>
    </row>
    <row r="1171" spans="1:2" x14ac:dyDescent="0.3">
      <c r="A1171" s="101">
        <v>44182</v>
      </c>
      <c r="B1171" s="102">
        <v>13740.7</v>
      </c>
    </row>
    <row r="1172" spans="1:2" x14ac:dyDescent="0.3">
      <c r="A1172" s="101">
        <v>44181</v>
      </c>
      <c r="B1172" s="102">
        <v>13682.7</v>
      </c>
    </row>
    <row r="1173" spans="1:2" x14ac:dyDescent="0.3">
      <c r="A1173" s="101">
        <v>44180</v>
      </c>
      <c r="B1173" s="102">
        <v>13567.85</v>
      </c>
    </row>
    <row r="1174" spans="1:2" x14ac:dyDescent="0.3">
      <c r="A1174" s="101">
        <v>44179</v>
      </c>
      <c r="B1174" s="102">
        <v>13558.15</v>
      </c>
    </row>
    <row r="1175" spans="1:2" x14ac:dyDescent="0.3">
      <c r="A1175" s="101">
        <v>44176</v>
      </c>
      <c r="B1175" s="102">
        <v>13513.85</v>
      </c>
    </row>
    <row r="1176" spans="1:2" x14ac:dyDescent="0.3">
      <c r="A1176" s="101">
        <v>44175</v>
      </c>
      <c r="B1176" s="102">
        <v>13478.3</v>
      </c>
    </row>
    <row r="1177" spans="1:2" x14ac:dyDescent="0.3">
      <c r="A1177" s="101">
        <v>44174</v>
      </c>
      <c r="B1177" s="102">
        <v>13529.1</v>
      </c>
    </row>
    <row r="1178" spans="1:2" x14ac:dyDescent="0.3">
      <c r="A1178" s="101">
        <v>44173</v>
      </c>
      <c r="B1178" s="102">
        <v>13392.95</v>
      </c>
    </row>
    <row r="1179" spans="1:2" x14ac:dyDescent="0.3">
      <c r="A1179" s="101">
        <v>44172</v>
      </c>
      <c r="B1179" s="102">
        <v>13355.75</v>
      </c>
    </row>
    <row r="1180" spans="1:2" x14ac:dyDescent="0.3">
      <c r="A1180" s="101">
        <v>44169</v>
      </c>
      <c r="B1180" s="102">
        <v>13258.55</v>
      </c>
    </row>
    <row r="1181" spans="1:2" x14ac:dyDescent="0.3">
      <c r="A1181" s="101">
        <v>44168</v>
      </c>
      <c r="B1181" s="102">
        <v>13133.9</v>
      </c>
    </row>
    <row r="1182" spans="1:2" x14ac:dyDescent="0.3">
      <c r="A1182" s="101">
        <v>44167</v>
      </c>
      <c r="B1182" s="102">
        <v>13113.75</v>
      </c>
    </row>
    <row r="1183" spans="1:2" x14ac:dyDescent="0.3">
      <c r="A1183" s="101">
        <v>44166</v>
      </c>
      <c r="B1183" s="102">
        <v>13109.05</v>
      </c>
    </row>
    <row r="1184" spans="1:2" x14ac:dyDescent="0.3">
      <c r="A1184" s="101">
        <v>44162</v>
      </c>
      <c r="B1184" s="102">
        <v>12968.95</v>
      </c>
    </row>
    <row r="1185" spans="1:2" x14ac:dyDescent="0.3">
      <c r="A1185" s="101">
        <v>44161</v>
      </c>
      <c r="B1185" s="102">
        <v>12987</v>
      </c>
    </row>
    <row r="1186" spans="1:2" x14ac:dyDescent="0.3">
      <c r="A1186" s="101">
        <v>44160</v>
      </c>
      <c r="B1186" s="102">
        <v>12858.4</v>
      </c>
    </row>
    <row r="1187" spans="1:2" x14ac:dyDescent="0.3">
      <c r="A1187" s="101">
        <v>44159</v>
      </c>
      <c r="B1187" s="102">
        <v>13055.15</v>
      </c>
    </row>
    <row r="1188" spans="1:2" x14ac:dyDescent="0.3">
      <c r="A1188" s="101">
        <v>44158</v>
      </c>
      <c r="B1188" s="102">
        <v>12926.45</v>
      </c>
    </row>
    <row r="1189" spans="1:2" x14ac:dyDescent="0.3">
      <c r="A1189" s="101">
        <v>44155</v>
      </c>
      <c r="B1189" s="102">
        <v>12859.05</v>
      </c>
    </row>
    <row r="1190" spans="1:2" x14ac:dyDescent="0.3">
      <c r="A1190" s="101">
        <v>44154</v>
      </c>
      <c r="B1190" s="102">
        <v>12771.7</v>
      </c>
    </row>
    <row r="1191" spans="1:2" x14ac:dyDescent="0.3">
      <c r="A1191" s="101">
        <v>44153</v>
      </c>
      <c r="B1191" s="102">
        <v>12938.25</v>
      </c>
    </row>
    <row r="1192" spans="1:2" x14ac:dyDescent="0.3">
      <c r="A1192" s="101">
        <v>44152</v>
      </c>
      <c r="B1192" s="102">
        <v>12874.2</v>
      </c>
    </row>
    <row r="1193" spans="1:2" x14ac:dyDescent="0.3">
      <c r="A1193" s="101">
        <v>44149</v>
      </c>
      <c r="B1193" s="102">
        <v>12780.25</v>
      </c>
    </row>
    <row r="1194" spans="1:2" x14ac:dyDescent="0.3">
      <c r="A1194" s="101">
        <v>44148</v>
      </c>
      <c r="B1194" s="102">
        <v>12719.95</v>
      </c>
    </row>
    <row r="1195" spans="1:2" x14ac:dyDescent="0.3">
      <c r="A1195" s="101">
        <v>44147</v>
      </c>
      <c r="B1195" s="102">
        <v>12690.8</v>
      </c>
    </row>
    <row r="1196" spans="1:2" x14ac:dyDescent="0.3">
      <c r="A1196" s="101">
        <v>44146</v>
      </c>
      <c r="B1196" s="102">
        <v>12749.15</v>
      </c>
    </row>
    <row r="1197" spans="1:2" x14ac:dyDescent="0.3">
      <c r="A1197" s="101">
        <v>44145</v>
      </c>
      <c r="B1197" s="102">
        <v>12631.1</v>
      </c>
    </row>
    <row r="1198" spans="1:2" x14ac:dyDescent="0.3">
      <c r="A1198" s="101">
        <v>44144</v>
      </c>
      <c r="B1198" s="102">
        <v>12461.05</v>
      </c>
    </row>
    <row r="1199" spans="1:2" x14ac:dyDescent="0.3">
      <c r="A1199" s="101">
        <v>44141</v>
      </c>
      <c r="B1199" s="102">
        <v>12263.55</v>
      </c>
    </row>
    <row r="1200" spans="1:2" x14ac:dyDescent="0.3">
      <c r="A1200" s="101">
        <v>44140</v>
      </c>
      <c r="B1200" s="102">
        <v>12120.3</v>
      </c>
    </row>
    <row r="1201" spans="1:2" x14ac:dyDescent="0.3">
      <c r="A1201" s="101">
        <v>44139</v>
      </c>
      <c r="B1201" s="102">
        <v>11908.5</v>
      </c>
    </row>
    <row r="1202" spans="1:2" x14ac:dyDescent="0.3">
      <c r="A1202" s="101">
        <v>44138</v>
      </c>
      <c r="B1202" s="102">
        <v>11813.5</v>
      </c>
    </row>
    <row r="1203" spans="1:2" x14ac:dyDescent="0.3">
      <c r="A1203" s="101">
        <v>44137</v>
      </c>
      <c r="B1203" s="102">
        <v>11669.15</v>
      </c>
    </row>
    <row r="1204" spans="1:2" x14ac:dyDescent="0.3">
      <c r="A1204" s="101">
        <v>44134</v>
      </c>
      <c r="B1204" s="102">
        <v>11642.4</v>
      </c>
    </row>
    <row r="1205" spans="1:2" x14ac:dyDescent="0.3">
      <c r="A1205" s="101">
        <v>44133</v>
      </c>
      <c r="B1205" s="102">
        <v>11670.8</v>
      </c>
    </row>
    <row r="1206" spans="1:2" x14ac:dyDescent="0.3">
      <c r="A1206" s="101">
        <v>44132</v>
      </c>
      <c r="B1206" s="102">
        <v>11729.6</v>
      </c>
    </row>
    <row r="1207" spans="1:2" x14ac:dyDescent="0.3">
      <c r="A1207" s="101">
        <v>44131</v>
      </c>
      <c r="B1207" s="102">
        <v>11889.4</v>
      </c>
    </row>
    <row r="1208" spans="1:2" x14ac:dyDescent="0.3">
      <c r="A1208" s="101">
        <v>44130</v>
      </c>
      <c r="B1208" s="102">
        <v>11767.75</v>
      </c>
    </row>
    <row r="1209" spans="1:2" x14ac:dyDescent="0.3">
      <c r="A1209" s="101">
        <v>44127</v>
      </c>
      <c r="B1209" s="102">
        <v>11930.35</v>
      </c>
    </row>
    <row r="1210" spans="1:2" x14ac:dyDescent="0.3">
      <c r="A1210" s="101">
        <v>44126</v>
      </c>
      <c r="B1210" s="102">
        <v>11896.45</v>
      </c>
    </row>
    <row r="1211" spans="1:2" x14ac:dyDescent="0.3">
      <c r="A1211" s="101">
        <v>44125</v>
      </c>
      <c r="B1211" s="102">
        <v>11937.65</v>
      </c>
    </row>
    <row r="1212" spans="1:2" x14ac:dyDescent="0.3">
      <c r="A1212" s="101">
        <v>44124</v>
      </c>
      <c r="B1212" s="102">
        <v>11896.8</v>
      </c>
    </row>
    <row r="1213" spans="1:2" x14ac:dyDescent="0.3">
      <c r="A1213" s="101">
        <v>44123</v>
      </c>
      <c r="B1213" s="102">
        <v>11873.05</v>
      </c>
    </row>
    <row r="1214" spans="1:2" x14ac:dyDescent="0.3">
      <c r="A1214" s="101">
        <v>44120</v>
      </c>
      <c r="B1214" s="102">
        <v>11762.45</v>
      </c>
    </row>
    <row r="1215" spans="1:2" x14ac:dyDescent="0.3">
      <c r="A1215" s="101">
        <v>44119</v>
      </c>
      <c r="B1215" s="102">
        <v>11680.35</v>
      </c>
    </row>
    <row r="1216" spans="1:2" x14ac:dyDescent="0.3">
      <c r="A1216" s="101">
        <v>44118</v>
      </c>
      <c r="B1216" s="102">
        <v>11971.05</v>
      </c>
    </row>
    <row r="1217" spans="1:2" x14ac:dyDescent="0.3">
      <c r="A1217" s="101">
        <v>44117</v>
      </c>
      <c r="B1217" s="102">
        <v>11934.5</v>
      </c>
    </row>
    <row r="1218" spans="1:2" x14ac:dyDescent="0.3">
      <c r="A1218" s="101">
        <v>44116</v>
      </c>
      <c r="B1218" s="102">
        <v>11930.95</v>
      </c>
    </row>
    <row r="1219" spans="1:2" x14ac:dyDescent="0.3">
      <c r="A1219" s="101">
        <v>44113</v>
      </c>
      <c r="B1219" s="102">
        <v>11914.2</v>
      </c>
    </row>
    <row r="1220" spans="1:2" x14ac:dyDescent="0.3">
      <c r="A1220" s="101">
        <v>44112</v>
      </c>
      <c r="B1220" s="102">
        <v>11834.6</v>
      </c>
    </row>
    <row r="1221" spans="1:2" x14ac:dyDescent="0.3">
      <c r="A1221" s="101">
        <v>44111</v>
      </c>
      <c r="B1221" s="102">
        <v>11738.85</v>
      </c>
    </row>
    <row r="1222" spans="1:2" x14ac:dyDescent="0.3">
      <c r="A1222" s="101">
        <v>44110</v>
      </c>
      <c r="B1222" s="102">
        <v>11662.4</v>
      </c>
    </row>
    <row r="1223" spans="1:2" x14ac:dyDescent="0.3">
      <c r="A1223" s="101">
        <v>44109</v>
      </c>
      <c r="B1223" s="102">
        <v>11503.35</v>
      </c>
    </row>
    <row r="1224" spans="1:2" x14ac:dyDescent="0.3">
      <c r="A1224" s="101">
        <v>44105</v>
      </c>
      <c r="B1224" s="102">
        <v>11416.95</v>
      </c>
    </row>
    <row r="1225" spans="1:2" x14ac:dyDescent="0.3">
      <c r="A1225" s="101">
        <v>44104</v>
      </c>
      <c r="B1225" s="102">
        <v>11247.55</v>
      </c>
    </row>
    <row r="1226" spans="1:2" x14ac:dyDescent="0.3">
      <c r="A1226" s="101">
        <v>44103</v>
      </c>
      <c r="B1226" s="102">
        <v>11222.4</v>
      </c>
    </row>
    <row r="1227" spans="1:2" x14ac:dyDescent="0.3">
      <c r="A1227" s="101">
        <v>44102</v>
      </c>
      <c r="B1227" s="102">
        <v>11227.55</v>
      </c>
    </row>
    <row r="1228" spans="1:2" x14ac:dyDescent="0.3">
      <c r="A1228" s="101">
        <v>44099</v>
      </c>
      <c r="B1228" s="102">
        <v>11050.25</v>
      </c>
    </row>
    <row r="1229" spans="1:2" x14ac:dyDescent="0.3">
      <c r="A1229" s="101">
        <v>44098</v>
      </c>
      <c r="B1229" s="102">
        <v>10805.55</v>
      </c>
    </row>
    <row r="1230" spans="1:2" x14ac:dyDescent="0.3">
      <c r="A1230" s="101">
        <v>44097</v>
      </c>
      <c r="B1230" s="102">
        <v>11131.85</v>
      </c>
    </row>
    <row r="1231" spans="1:2" x14ac:dyDescent="0.3">
      <c r="A1231" s="101">
        <v>44096</v>
      </c>
      <c r="B1231" s="102">
        <v>11153.65</v>
      </c>
    </row>
    <row r="1232" spans="1:2" x14ac:dyDescent="0.3">
      <c r="A1232" s="101">
        <v>44095</v>
      </c>
      <c r="B1232" s="102">
        <v>11250.55</v>
      </c>
    </row>
    <row r="1233" spans="1:2" x14ac:dyDescent="0.3">
      <c r="A1233" s="101">
        <v>44092</v>
      </c>
      <c r="B1233" s="102">
        <v>11504.95</v>
      </c>
    </row>
    <row r="1234" spans="1:2" x14ac:dyDescent="0.3">
      <c r="A1234" s="101">
        <v>44091</v>
      </c>
      <c r="B1234" s="102">
        <v>11516.1</v>
      </c>
    </row>
    <row r="1235" spans="1:2" x14ac:dyDescent="0.3">
      <c r="A1235" s="101">
        <v>44090</v>
      </c>
      <c r="B1235" s="102">
        <v>11604.55</v>
      </c>
    </row>
    <row r="1236" spans="1:2" x14ac:dyDescent="0.3">
      <c r="A1236" s="101">
        <v>44089</v>
      </c>
      <c r="B1236" s="102">
        <v>11521.8</v>
      </c>
    </row>
    <row r="1237" spans="1:2" x14ac:dyDescent="0.3">
      <c r="A1237" s="101">
        <v>44088</v>
      </c>
      <c r="B1237" s="102">
        <v>11440.05</v>
      </c>
    </row>
    <row r="1238" spans="1:2" x14ac:dyDescent="0.3">
      <c r="A1238" s="101">
        <v>44085</v>
      </c>
      <c r="B1238" s="102">
        <v>11464.45</v>
      </c>
    </row>
    <row r="1239" spans="1:2" x14ac:dyDescent="0.3">
      <c r="A1239" s="101">
        <v>44084</v>
      </c>
      <c r="B1239" s="102">
        <v>11449.25</v>
      </c>
    </row>
    <row r="1240" spans="1:2" x14ac:dyDescent="0.3">
      <c r="A1240" s="101">
        <v>44083</v>
      </c>
      <c r="B1240" s="102">
        <v>11278</v>
      </c>
    </row>
    <row r="1241" spans="1:2" x14ac:dyDescent="0.3">
      <c r="A1241" s="101">
        <v>44082</v>
      </c>
      <c r="B1241" s="102">
        <v>11317.35</v>
      </c>
    </row>
    <row r="1242" spans="1:2" x14ac:dyDescent="0.3">
      <c r="A1242" s="101">
        <v>44081</v>
      </c>
      <c r="B1242" s="102">
        <v>11355.05</v>
      </c>
    </row>
    <row r="1243" spans="1:2" x14ac:dyDescent="0.3">
      <c r="A1243" s="101">
        <v>44078</v>
      </c>
      <c r="B1243" s="102">
        <v>11333.85</v>
      </c>
    </row>
    <row r="1244" spans="1:2" x14ac:dyDescent="0.3">
      <c r="A1244" s="101">
        <v>44077</v>
      </c>
      <c r="B1244" s="102">
        <v>11527.45</v>
      </c>
    </row>
    <row r="1245" spans="1:2" x14ac:dyDescent="0.3">
      <c r="A1245" s="101">
        <v>44076</v>
      </c>
      <c r="B1245" s="102">
        <v>11535</v>
      </c>
    </row>
    <row r="1246" spans="1:2" x14ac:dyDescent="0.3">
      <c r="A1246" s="101">
        <v>44075</v>
      </c>
      <c r="B1246" s="102">
        <v>11470.25</v>
      </c>
    </row>
    <row r="1247" spans="1:2" x14ac:dyDescent="0.3">
      <c r="A1247" s="101">
        <v>44074</v>
      </c>
      <c r="B1247" s="102">
        <v>11387.5</v>
      </c>
    </row>
    <row r="1248" spans="1:2" x14ac:dyDescent="0.3">
      <c r="A1248" s="101">
        <v>44071</v>
      </c>
      <c r="B1248" s="102">
        <v>11647.6</v>
      </c>
    </row>
    <row r="1249" spans="1:2" x14ac:dyDescent="0.3">
      <c r="A1249" s="101">
        <v>44070</v>
      </c>
      <c r="B1249" s="102">
        <v>11559.25</v>
      </c>
    </row>
    <row r="1250" spans="1:2" x14ac:dyDescent="0.3">
      <c r="A1250" s="101">
        <v>44069</v>
      </c>
      <c r="B1250" s="102">
        <v>11549.6</v>
      </c>
    </row>
    <row r="1251" spans="1:2" x14ac:dyDescent="0.3">
      <c r="A1251" s="101">
        <v>44068</v>
      </c>
      <c r="B1251" s="102">
        <v>11472.25</v>
      </c>
    </row>
    <row r="1252" spans="1:2" x14ac:dyDescent="0.3">
      <c r="A1252" s="101">
        <v>44067</v>
      </c>
      <c r="B1252" s="102">
        <v>11466.45</v>
      </c>
    </row>
    <row r="1253" spans="1:2" x14ac:dyDescent="0.3">
      <c r="A1253" s="101">
        <v>44064</v>
      </c>
      <c r="B1253" s="102">
        <v>11371.6</v>
      </c>
    </row>
    <row r="1254" spans="1:2" x14ac:dyDescent="0.3">
      <c r="A1254" s="101">
        <v>44063</v>
      </c>
      <c r="B1254" s="102">
        <v>11312.2</v>
      </c>
    </row>
    <row r="1255" spans="1:2" x14ac:dyDescent="0.3">
      <c r="A1255" s="101">
        <v>44062</v>
      </c>
      <c r="B1255" s="102">
        <v>11408.4</v>
      </c>
    </row>
    <row r="1256" spans="1:2" x14ac:dyDescent="0.3">
      <c r="A1256" s="101">
        <v>44061</v>
      </c>
      <c r="B1256" s="102">
        <v>11385.35</v>
      </c>
    </row>
    <row r="1257" spans="1:2" x14ac:dyDescent="0.3">
      <c r="A1257" s="101">
        <v>44060</v>
      </c>
      <c r="B1257" s="102">
        <v>11247.1</v>
      </c>
    </row>
    <row r="1258" spans="1:2" x14ac:dyDescent="0.3">
      <c r="A1258" s="101">
        <v>44057</v>
      </c>
      <c r="B1258" s="102">
        <v>11178.4</v>
      </c>
    </row>
    <row r="1259" spans="1:2" x14ac:dyDescent="0.3">
      <c r="A1259" s="101">
        <v>44056</v>
      </c>
      <c r="B1259" s="102">
        <v>11300.45</v>
      </c>
    </row>
    <row r="1260" spans="1:2" x14ac:dyDescent="0.3">
      <c r="A1260" s="101">
        <v>44055</v>
      </c>
      <c r="B1260" s="102">
        <v>11308.4</v>
      </c>
    </row>
    <row r="1261" spans="1:2" x14ac:dyDescent="0.3">
      <c r="A1261" s="101">
        <v>44054</v>
      </c>
      <c r="B1261" s="102">
        <v>11322.5</v>
      </c>
    </row>
    <row r="1262" spans="1:2" x14ac:dyDescent="0.3">
      <c r="A1262" s="101">
        <v>44053</v>
      </c>
      <c r="B1262" s="102">
        <v>11270.15</v>
      </c>
    </row>
    <row r="1263" spans="1:2" x14ac:dyDescent="0.3">
      <c r="A1263" s="101">
        <v>44050</v>
      </c>
      <c r="B1263" s="102">
        <v>11214.05</v>
      </c>
    </row>
    <row r="1264" spans="1:2" x14ac:dyDescent="0.3">
      <c r="A1264" s="101">
        <v>44049</v>
      </c>
      <c r="B1264" s="102">
        <v>11200.15</v>
      </c>
    </row>
    <row r="1265" spans="1:2" x14ac:dyDescent="0.3">
      <c r="A1265" s="101">
        <v>44048</v>
      </c>
      <c r="B1265" s="102">
        <v>11101.65</v>
      </c>
    </row>
    <row r="1266" spans="1:2" x14ac:dyDescent="0.3">
      <c r="A1266" s="101">
        <v>44047</v>
      </c>
      <c r="B1266" s="102">
        <v>11095.25</v>
      </c>
    </row>
    <row r="1267" spans="1:2" x14ac:dyDescent="0.3">
      <c r="A1267" s="101">
        <v>44046</v>
      </c>
      <c r="B1267" s="102">
        <v>10891.6</v>
      </c>
    </row>
    <row r="1268" spans="1:2" x14ac:dyDescent="0.3">
      <c r="A1268" s="101">
        <v>44043</v>
      </c>
      <c r="B1268" s="102">
        <v>11073.45</v>
      </c>
    </row>
    <row r="1269" spans="1:2" x14ac:dyDescent="0.3">
      <c r="A1269" s="101">
        <v>44042</v>
      </c>
      <c r="B1269" s="102">
        <v>11102.15</v>
      </c>
    </row>
    <row r="1270" spans="1:2" x14ac:dyDescent="0.3">
      <c r="A1270" s="101">
        <v>44041</v>
      </c>
      <c r="B1270" s="102">
        <v>11202.85</v>
      </c>
    </row>
    <row r="1271" spans="1:2" x14ac:dyDescent="0.3">
      <c r="A1271" s="101">
        <v>44040</v>
      </c>
      <c r="B1271" s="102">
        <v>11300.55</v>
      </c>
    </row>
    <row r="1272" spans="1:2" x14ac:dyDescent="0.3">
      <c r="A1272" s="101">
        <v>44039</v>
      </c>
      <c r="B1272" s="102">
        <v>11131.8</v>
      </c>
    </row>
    <row r="1273" spans="1:2" x14ac:dyDescent="0.3">
      <c r="A1273" s="101">
        <v>44036</v>
      </c>
      <c r="B1273" s="102">
        <v>11194.15</v>
      </c>
    </row>
    <row r="1274" spans="1:2" x14ac:dyDescent="0.3">
      <c r="A1274" s="101">
        <v>44035</v>
      </c>
      <c r="B1274" s="102">
        <v>11215.45</v>
      </c>
    </row>
    <row r="1275" spans="1:2" x14ac:dyDescent="0.3">
      <c r="A1275" s="101">
        <v>44034</v>
      </c>
      <c r="B1275" s="102">
        <v>11132.6</v>
      </c>
    </row>
    <row r="1276" spans="1:2" x14ac:dyDescent="0.3">
      <c r="A1276" s="101">
        <v>44033</v>
      </c>
      <c r="B1276" s="102">
        <v>11162.25</v>
      </c>
    </row>
    <row r="1277" spans="1:2" x14ac:dyDescent="0.3">
      <c r="A1277" s="101">
        <v>44032</v>
      </c>
      <c r="B1277" s="102">
        <v>11022.2</v>
      </c>
    </row>
    <row r="1278" spans="1:2" x14ac:dyDescent="0.3">
      <c r="A1278" s="101">
        <v>44029</v>
      </c>
      <c r="B1278" s="102">
        <v>10901.7</v>
      </c>
    </row>
    <row r="1279" spans="1:2" x14ac:dyDescent="0.3">
      <c r="A1279" s="101">
        <v>44028</v>
      </c>
      <c r="B1279" s="102">
        <v>10739.95</v>
      </c>
    </row>
    <row r="1280" spans="1:2" x14ac:dyDescent="0.3">
      <c r="A1280" s="101">
        <v>44027</v>
      </c>
      <c r="B1280" s="102">
        <v>10618.2</v>
      </c>
    </row>
    <row r="1281" spans="1:2" x14ac:dyDescent="0.3">
      <c r="A1281" s="101">
        <v>44026</v>
      </c>
      <c r="B1281" s="102">
        <v>10607.35</v>
      </c>
    </row>
    <row r="1282" spans="1:2" x14ac:dyDescent="0.3">
      <c r="A1282" s="101">
        <v>44025</v>
      </c>
      <c r="B1282" s="102">
        <v>10802.7</v>
      </c>
    </row>
    <row r="1283" spans="1:2" x14ac:dyDescent="0.3">
      <c r="A1283" s="101">
        <v>44022</v>
      </c>
      <c r="B1283" s="102">
        <v>10768.05</v>
      </c>
    </row>
    <row r="1284" spans="1:2" x14ac:dyDescent="0.3">
      <c r="A1284" s="101">
        <v>44021</v>
      </c>
      <c r="B1284" s="102">
        <v>10813.45</v>
      </c>
    </row>
    <row r="1285" spans="1:2" x14ac:dyDescent="0.3">
      <c r="A1285" s="101">
        <v>44020</v>
      </c>
      <c r="B1285" s="102">
        <v>10705.75</v>
      </c>
    </row>
    <row r="1286" spans="1:2" x14ac:dyDescent="0.3">
      <c r="A1286" s="101">
        <v>44019</v>
      </c>
      <c r="B1286" s="102">
        <v>10799.65</v>
      </c>
    </row>
    <row r="1287" spans="1:2" x14ac:dyDescent="0.3">
      <c r="A1287" s="101">
        <v>44018</v>
      </c>
      <c r="B1287" s="102">
        <v>10763.65</v>
      </c>
    </row>
    <row r="1288" spans="1:2" x14ac:dyDescent="0.3">
      <c r="A1288" s="101">
        <v>44015</v>
      </c>
      <c r="B1288" s="102">
        <v>10607.35</v>
      </c>
    </row>
    <row r="1289" spans="1:2" x14ac:dyDescent="0.3">
      <c r="A1289" s="101">
        <v>44014</v>
      </c>
      <c r="B1289" s="102">
        <v>10551.7</v>
      </c>
    </row>
    <row r="1290" spans="1:2" x14ac:dyDescent="0.3">
      <c r="A1290" s="101">
        <v>44013</v>
      </c>
      <c r="B1290" s="102">
        <v>10430.049999999999</v>
      </c>
    </row>
    <row r="1291" spans="1:2" x14ac:dyDescent="0.3">
      <c r="A1291" s="101">
        <v>44012</v>
      </c>
      <c r="B1291" s="102">
        <v>10302.1</v>
      </c>
    </row>
    <row r="1292" spans="1:2" x14ac:dyDescent="0.3">
      <c r="A1292" s="101">
        <v>44011</v>
      </c>
      <c r="B1292" s="102">
        <v>10312.4</v>
      </c>
    </row>
    <row r="1293" spans="1:2" x14ac:dyDescent="0.3">
      <c r="A1293" s="101">
        <v>44008</v>
      </c>
      <c r="B1293" s="102">
        <v>10383</v>
      </c>
    </row>
    <row r="1294" spans="1:2" x14ac:dyDescent="0.3">
      <c r="A1294" s="101">
        <v>44007</v>
      </c>
      <c r="B1294" s="102">
        <v>10288.9</v>
      </c>
    </row>
    <row r="1295" spans="1:2" x14ac:dyDescent="0.3">
      <c r="A1295" s="101">
        <v>44006</v>
      </c>
      <c r="B1295" s="102">
        <v>10305.299999999999</v>
      </c>
    </row>
    <row r="1296" spans="1:2" x14ac:dyDescent="0.3">
      <c r="A1296" s="101">
        <v>44005</v>
      </c>
      <c r="B1296" s="102">
        <v>10471</v>
      </c>
    </row>
    <row r="1297" spans="1:2" x14ac:dyDescent="0.3">
      <c r="A1297" s="101">
        <v>44004</v>
      </c>
      <c r="B1297" s="102">
        <v>10311.200000000001</v>
      </c>
    </row>
    <row r="1298" spans="1:2" x14ac:dyDescent="0.3">
      <c r="A1298" s="101">
        <v>44001</v>
      </c>
      <c r="B1298" s="102">
        <v>10244.4</v>
      </c>
    </row>
    <row r="1299" spans="1:2" x14ac:dyDescent="0.3">
      <c r="A1299" s="101">
        <v>44000</v>
      </c>
      <c r="B1299" s="102">
        <v>10091.65</v>
      </c>
    </row>
    <row r="1300" spans="1:2" x14ac:dyDescent="0.3">
      <c r="A1300" s="101">
        <v>43999</v>
      </c>
      <c r="B1300" s="102">
        <v>9881.15</v>
      </c>
    </row>
    <row r="1301" spans="1:2" x14ac:dyDescent="0.3">
      <c r="A1301" s="101">
        <v>43998</v>
      </c>
      <c r="B1301" s="102">
        <v>9914</v>
      </c>
    </row>
    <row r="1302" spans="1:2" x14ac:dyDescent="0.3">
      <c r="A1302" s="101">
        <v>43997</v>
      </c>
      <c r="B1302" s="102">
        <v>9813.7000000000007</v>
      </c>
    </row>
    <row r="1303" spans="1:2" x14ac:dyDescent="0.3">
      <c r="A1303" s="101">
        <v>43994</v>
      </c>
      <c r="B1303" s="102">
        <v>9972.9</v>
      </c>
    </row>
    <row r="1304" spans="1:2" x14ac:dyDescent="0.3">
      <c r="A1304" s="101">
        <v>43993</v>
      </c>
      <c r="B1304" s="102">
        <v>9902</v>
      </c>
    </row>
    <row r="1305" spans="1:2" x14ac:dyDescent="0.3">
      <c r="A1305" s="101">
        <v>43992</v>
      </c>
      <c r="B1305" s="102">
        <v>10116.15</v>
      </c>
    </row>
    <row r="1306" spans="1:2" x14ac:dyDescent="0.3">
      <c r="A1306" s="101">
        <v>43991</v>
      </c>
      <c r="B1306" s="102">
        <v>10046.65</v>
      </c>
    </row>
    <row r="1307" spans="1:2" x14ac:dyDescent="0.3">
      <c r="A1307" s="101">
        <v>43990</v>
      </c>
      <c r="B1307" s="102">
        <v>10167.450000000001</v>
      </c>
    </row>
    <row r="1308" spans="1:2" x14ac:dyDescent="0.3">
      <c r="A1308" s="101">
        <v>43987</v>
      </c>
      <c r="B1308" s="102">
        <v>10142.15</v>
      </c>
    </row>
    <row r="1309" spans="1:2" x14ac:dyDescent="0.3">
      <c r="A1309" s="101">
        <v>43986</v>
      </c>
      <c r="B1309" s="102">
        <v>10029.1</v>
      </c>
    </row>
    <row r="1310" spans="1:2" x14ac:dyDescent="0.3">
      <c r="A1310" s="101">
        <v>43985</v>
      </c>
      <c r="B1310" s="102">
        <v>10061.549999999999</v>
      </c>
    </row>
    <row r="1311" spans="1:2" x14ac:dyDescent="0.3">
      <c r="A1311" s="101">
        <v>43984</v>
      </c>
      <c r="B1311" s="102">
        <v>9979.1</v>
      </c>
    </row>
    <row r="1312" spans="1:2" x14ac:dyDescent="0.3">
      <c r="A1312" s="101">
        <v>43983</v>
      </c>
      <c r="B1312" s="102">
        <v>9826.15</v>
      </c>
    </row>
    <row r="1313" spans="1:2" x14ac:dyDescent="0.3">
      <c r="A1313" s="101">
        <v>43980</v>
      </c>
      <c r="B1313" s="102">
        <v>9580.2999999999993</v>
      </c>
    </row>
    <row r="1314" spans="1:2" x14ac:dyDescent="0.3">
      <c r="A1314" s="101">
        <v>43979</v>
      </c>
      <c r="B1314" s="102">
        <v>9490.1</v>
      </c>
    </row>
    <row r="1315" spans="1:2" x14ac:dyDescent="0.3">
      <c r="A1315" s="101">
        <v>43978</v>
      </c>
      <c r="B1315" s="102">
        <v>9314.9500000000007</v>
      </c>
    </row>
    <row r="1316" spans="1:2" x14ac:dyDescent="0.3">
      <c r="A1316" s="101">
        <v>43977</v>
      </c>
      <c r="B1316" s="102">
        <v>9029.0499999999993</v>
      </c>
    </row>
    <row r="1317" spans="1:2" x14ac:dyDescent="0.3">
      <c r="A1317" s="101">
        <v>43973</v>
      </c>
      <c r="B1317" s="102">
        <v>9039.25</v>
      </c>
    </row>
    <row r="1318" spans="1:2" x14ac:dyDescent="0.3">
      <c r="A1318" s="101">
        <v>43972</v>
      </c>
      <c r="B1318" s="102">
        <v>9106.25</v>
      </c>
    </row>
    <row r="1319" spans="1:2" x14ac:dyDescent="0.3">
      <c r="A1319" s="101">
        <v>43971</v>
      </c>
      <c r="B1319" s="102">
        <v>9066.5499999999993</v>
      </c>
    </row>
    <row r="1320" spans="1:2" x14ac:dyDescent="0.3">
      <c r="A1320" s="101">
        <v>43970</v>
      </c>
      <c r="B1320" s="102">
        <v>8879.1</v>
      </c>
    </row>
    <row r="1321" spans="1:2" x14ac:dyDescent="0.3">
      <c r="A1321" s="101">
        <v>43969</v>
      </c>
      <c r="B1321" s="102">
        <v>8823.25</v>
      </c>
    </row>
    <row r="1322" spans="1:2" x14ac:dyDescent="0.3">
      <c r="A1322" s="101">
        <v>43966</v>
      </c>
      <c r="B1322" s="102">
        <v>9136.85</v>
      </c>
    </row>
    <row r="1323" spans="1:2" x14ac:dyDescent="0.3">
      <c r="A1323" s="101">
        <v>43965</v>
      </c>
      <c r="B1323" s="102">
        <v>9142.75</v>
      </c>
    </row>
    <row r="1324" spans="1:2" x14ac:dyDescent="0.3">
      <c r="A1324" s="101">
        <v>43964</v>
      </c>
      <c r="B1324" s="102">
        <v>9383.5499999999993</v>
      </c>
    </row>
    <row r="1325" spans="1:2" x14ac:dyDescent="0.3">
      <c r="A1325" s="101">
        <v>43963</v>
      </c>
      <c r="B1325" s="102">
        <v>9196.5499999999993</v>
      </c>
    </row>
    <row r="1326" spans="1:2" x14ac:dyDescent="0.3">
      <c r="A1326" s="101">
        <v>43962</v>
      </c>
      <c r="B1326" s="102">
        <v>9239.2000000000007</v>
      </c>
    </row>
    <row r="1327" spans="1:2" x14ac:dyDescent="0.3">
      <c r="A1327" s="101">
        <v>43959</v>
      </c>
      <c r="B1327" s="102">
        <v>9251.5</v>
      </c>
    </row>
    <row r="1328" spans="1:2" x14ac:dyDescent="0.3">
      <c r="A1328" s="101">
        <v>43958</v>
      </c>
      <c r="B1328" s="102">
        <v>9199.0499999999993</v>
      </c>
    </row>
    <row r="1329" spans="1:2" x14ac:dyDescent="0.3">
      <c r="A1329" s="101">
        <v>43957</v>
      </c>
      <c r="B1329" s="102">
        <v>9270.9</v>
      </c>
    </row>
    <row r="1330" spans="1:2" x14ac:dyDescent="0.3">
      <c r="A1330" s="101">
        <v>43956</v>
      </c>
      <c r="B1330" s="102">
        <v>9205.6</v>
      </c>
    </row>
    <row r="1331" spans="1:2" x14ac:dyDescent="0.3">
      <c r="A1331" s="101">
        <v>43955</v>
      </c>
      <c r="B1331" s="102">
        <v>9293.5</v>
      </c>
    </row>
    <row r="1332" spans="1:2" x14ac:dyDescent="0.3">
      <c r="A1332" s="101">
        <v>43951</v>
      </c>
      <c r="B1332" s="102">
        <v>9859.9</v>
      </c>
    </row>
    <row r="1333" spans="1:2" x14ac:dyDescent="0.3">
      <c r="A1333" s="101">
        <v>43950</v>
      </c>
      <c r="B1333" s="102">
        <v>9553.35</v>
      </c>
    </row>
    <row r="1334" spans="1:2" x14ac:dyDescent="0.3">
      <c r="A1334" s="101">
        <v>43949</v>
      </c>
      <c r="B1334" s="102">
        <v>9380.9</v>
      </c>
    </row>
    <row r="1335" spans="1:2" x14ac:dyDescent="0.3">
      <c r="A1335" s="101">
        <v>43948</v>
      </c>
      <c r="B1335" s="102">
        <v>9282.2999999999993</v>
      </c>
    </row>
    <row r="1336" spans="1:2" x14ac:dyDescent="0.3">
      <c r="A1336" s="101">
        <v>43945</v>
      </c>
      <c r="B1336" s="102">
        <v>9154.4</v>
      </c>
    </row>
    <row r="1337" spans="1:2" x14ac:dyDescent="0.3">
      <c r="A1337" s="101">
        <v>43944</v>
      </c>
      <c r="B1337" s="102">
        <v>9313.9</v>
      </c>
    </row>
    <row r="1338" spans="1:2" x14ac:dyDescent="0.3">
      <c r="A1338" s="101">
        <v>43943</v>
      </c>
      <c r="B1338" s="102">
        <v>9187.2999999999993</v>
      </c>
    </row>
    <row r="1339" spans="1:2" x14ac:dyDescent="0.3">
      <c r="A1339" s="101">
        <v>43942</v>
      </c>
      <c r="B1339" s="102">
        <v>8981.4500000000007</v>
      </c>
    </row>
    <row r="1340" spans="1:2" x14ac:dyDescent="0.3">
      <c r="A1340" s="101">
        <v>43941</v>
      </c>
      <c r="B1340" s="102">
        <v>9261.85</v>
      </c>
    </row>
    <row r="1341" spans="1:2" x14ac:dyDescent="0.3">
      <c r="A1341" s="101">
        <v>43938</v>
      </c>
      <c r="B1341" s="102">
        <v>9266.75</v>
      </c>
    </row>
    <row r="1342" spans="1:2" x14ac:dyDescent="0.3">
      <c r="A1342" s="101">
        <v>43937</v>
      </c>
      <c r="B1342" s="102">
        <v>8992.7999999999993</v>
      </c>
    </row>
    <row r="1343" spans="1:2" x14ac:dyDescent="0.3">
      <c r="A1343" s="101">
        <v>43936</v>
      </c>
      <c r="B1343" s="102">
        <v>8925.2999999999993</v>
      </c>
    </row>
    <row r="1344" spans="1:2" x14ac:dyDescent="0.3">
      <c r="A1344" s="101">
        <v>43934</v>
      </c>
      <c r="B1344" s="102">
        <v>8993.85</v>
      </c>
    </row>
    <row r="1345" spans="1:2" x14ac:dyDescent="0.3">
      <c r="A1345" s="101">
        <v>43930</v>
      </c>
      <c r="B1345" s="102">
        <v>9111.9</v>
      </c>
    </row>
    <row r="1346" spans="1:2" x14ac:dyDescent="0.3">
      <c r="A1346" s="101">
        <v>43929</v>
      </c>
      <c r="B1346" s="102">
        <v>8748.75</v>
      </c>
    </row>
    <row r="1347" spans="1:2" x14ac:dyDescent="0.3">
      <c r="A1347" s="101">
        <v>43928</v>
      </c>
      <c r="B1347" s="102">
        <v>8792.2000000000007</v>
      </c>
    </row>
    <row r="1348" spans="1:2" x14ac:dyDescent="0.3">
      <c r="A1348" s="101">
        <v>43924</v>
      </c>
      <c r="B1348" s="102">
        <v>8083.8</v>
      </c>
    </row>
    <row r="1349" spans="1:2" x14ac:dyDescent="0.3">
      <c r="A1349" s="101">
        <v>43922</v>
      </c>
      <c r="B1349" s="102">
        <v>8253.7999999999993</v>
      </c>
    </row>
    <row r="1350" spans="1:2" x14ac:dyDescent="0.3">
      <c r="A1350" s="101">
        <v>43921</v>
      </c>
      <c r="B1350" s="102">
        <v>8597.75</v>
      </c>
    </row>
    <row r="1351" spans="1:2" x14ac:dyDescent="0.3">
      <c r="A1351" s="101">
        <v>43920</v>
      </c>
      <c r="B1351" s="102">
        <v>8281.1</v>
      </c>
    </row>
    <row r="1352" spans="1:2" x14ac:dyDescent="0.3">
      <c r="A1352" s="101">
        <v>43917</v>
      </c>
      <c r="B1352" s="102">
        <v>8660.25</v>
      </c>
    </row>
    <row r="1353" spans="1:2" x14ac:dyDescent="0.3">
      <c r="A1353" s="101">
        <v>43916</v>
      </c>
      <c r="B1353" s="102">
        <v>8641.4500000000007</v>
      </c>
    </row>
    <row r="1354" spans="1:2" x14ac:dyDescent="0.3">
      <c r="A1354" s="101">
        <v>43915</v>
      </c>
      <c r="B1354" s="102">
        <v>8317.85</v>
      </c>
    </row>
    <row r="1355" spans="1:2" x14ac:dyDescent="0.3">
      <c r="A1355" s="101">
        <v>43914</v>
      </c>
      <c r="B1355" s="102">
        <v>7801.05</v>
      </c>
    </row>
    <row r="1356" spans="1:2" x14ac:dyDescent="0.3">
      <c r="A1356" s="101">
        <v>43913</v>
      </c>
      <c r="B1356" s="102">
        <v>7610.25</v>
      </c>
    </row>
    <row r="1357" spans="1:2" x14ac:dyDescent="0.3">
      <c r="A1357" s="101">
        <v>43910</v>
      </c>
      <c r="B1357" s="102">
        <v>8745.4500000000007</v>
      </c>
    </row>
    <row r="1358" spans="1:2" x14ac:dyDescent="0.3">
      <c r="A1358" s="101">
        <v>43909</v>
      </c>
      <c r="B1358" s="102">
        <v>8263.4500000000007</v>
      </c>
    </row>
    <row r="1359" spans="1:2" x14ac:dyDescent="0.3">
      <c r="A1359" s="101">
        <v>43908</v>
      </c>
      <c r="B1359" s="102">
        <v>8468.7999999999993</v>
      </c>
    </row>
    <row r="1360" spans="1:2" x14ac:dyDescent="0.3">
      <c r="A1360" s="101">
        <v>43907</v>
      </c>
      <c r="B1360" s="102">
        <v>8967.0499999999993</v>
      </c>
    </row>
    <row r="1361" spans="1:2" x14ac:dyDescent="0.3">
      <c r="A1361" s="101">
        <v>43906</v>
      </c>
      <c r="B1361" s="102">
        <v>9197.4</v>
      </c>
    </row>
    <row r="1362" spans="1:2" x14ac:dyDescent="0.3">
      <c r="A1362" s="101">
        <v>43903</v>
      </c>
      <c r="B1362" s="102">
        <v>9955.2000000000007</v>
      </c>
    </row>
    <row r="1363" spans="1:2" x14ac:dyDescent="0.3">
      <c r="A1363" s="101">
        <v>43902</v>
      </c>
      <c r="B1363" s="102">
        <v>9590.15</v>
      </c>
    </row>
    <row r="1364" spans="1:2" x14ac:dyDescent="0.3">
      <c r="A1364" s="101">
        <v>43901</v>
      </c>
      <c r="B1364" s="102">
        <v>10458.4</v>
      </c>
    </row>
    <row r="1365" spans="1:2" x14ac:dyDescent="0.3">
      <c r="A1365" s="101">
        <v>43899</v>
      </c>
      <c r="B1365" s="102">
        <v>10451.450000000001</v>
      </c>
    </row>
    <row r="1366" spans="1:2" x14ac:dyDescent="0.3">
      <c r="A1366" s="101">
        <v>43896</v>
      </c>
      <c r="B1366" s="102">
        <v>10989.45</v>
      </c>
    </row>
    <row r="1367" spans="1:2" x14ac:dyDescent="0.3">
      <c r="A1367" s="101">
        <v>43895</v>
      </c>
      <c r="B1367" s="102">
        <v>11269</v>
      </c>
    </row>
    <row r="1368" spans="1:2" x14ac:dyDescent="0.3">
      <c r="A1368" s="101">
        <v>43894</v>
      </c>
      <c r="B1368" s="102">
        <v>11251</v>
      </c>
    </row>
    <row r="1369" spans="1:2" x14ac:dyDescent="0.3">
      <c r="A1369" s="101">
        <v>43893</v>
      </c>
      <c r="B1369" s="102">
        <v>11303.3</v>
      </c>
    </row>
    <row r="1370" spans="1:2" x14ac:dyDescent="0.3">
      <c r="A1370" s="101">
        <v>43892</v>
      </c>
      <c r="B1370" s="102">
        <v>11132.75</v>
      </c>
    </row>
    <row r="1371" spans="1:2" x14ac:dyDescent="0.3">
      <c r="A1371" s="101">
        <v>43889</v>
      </c>
      <c r="B1371" s="102">
        <v>11201.75</v>
      </c>
    </row>
    <row r="1372" spans="1:2" x14ac:dyDescent="0.3">
      <c r="A1372" s="101">
        <v>43888</v>
      </c>
      <c r="B1372" s="102">
        <v>11633.3</v>
      </c>
    </row>
    <row r="1373" spans="1:2" x14ac:dyDescent="0.3">
      <c r="A1373" s="101">
        <v>43887</v>
      </c>
      <c r="B1373" s="102">
        <v>11678.5</v>
      </c>
    </row>
    <row r="1374" spans="1:2" x14ac:dyDescent="0.3">
      <c r="A1374" s="101">
        <v>43886</v>
      </c>
      <c r="B1374" s="102">
        <v>11797.9</v>
      </c>
    </row>
    <row r="1375" spans="1:2" x14ac:dyDescent="0.3">
      <c r="A1375" s="101">
        <v>43885</v>
      </c>
      <c r="B1375" s="102">
        <v>11829.4</v>
      </c>
    </row>
    <row r="1376" spans="1:2" x14ac:dyDescent="0.3">
      <c r="A1376" s="101">
        <v>43881</v>
      </c>
      <c r="B1376" s="102">
        <v>12080.85</v>
      </c>
    </row>
    <row r="1377" spans="1:2" x14ac:dyDescent="0.3">
      <c r="A1377" s="101">
        <v>43880</v>
      </c>
      <c r="B1377" s="102">
        <v>12125.9</v>
      </c>
    </row>
    <row r="1378" spans="1:2" x14ac:dyDescent="0.3">
      <c r="A1378" s="101">
        <v>43879</v>
      </c>
      <c r="B1378" s="102">
        <v>11992.5</v>
      </c>
    </row>
    <row r="1379" spans="1:2" x14ac:dyDescent="0.3">
      <c r="A1379" s="101">
        <v>43878</v>
      </c>
      <c r="B1379" s="102">
        <v>12045.8</v>
      </c>
    </row>
    <row r="1380" spans="1:2" x14ac:dyDescent="0.3">
      <c r="A1380" s="101">
        <v>43875</v>
      </c>
      <c r="B1380" s="102">
        <v>12113.45</v>
      </c>
    </row>
    <row r="1381" spans="1:2" x14ac:dyDescent="0.3">
      <c r="A1381" s="101">
        <v>43874</v>
      </c>
      <c r="B1381" s="102">
        <v>12174.65</v>
      </c>
    </row>
    <row r="1382" spans="1:2" x14ac:dyDescent="0.3">
      <c r="A1382" s="101">
        <v>43873</v>
      </c>
      <c r="B1382" s="102">
        <v>12201.2</v>
      </c>
    </row>
    <row r="1383" spans="1:2" x14ac:dyDescent="0.3">
      <c r="A1383" s="101">
        <v>43872</v>
      </c>
      <c r="B1383" s="102">
        <v>12107.9</v>
      </c>
    </row>
    <row r="1384" spans="1:2" x14ac:dyDescent="0.3">
      <c r="A1384" s="101">
        <v>43871</v>
      </c>
      <c r="B1384" s="102">
        <v>12031.5</v>
      </c>
    </row>
    <row r="1385" spans="1:2" x14ac:dyDescent="0.3">
      <c r="A1385" s="101">
        <v>43868</v>
      </c>
      <c r="B1385" s="102">
        <v>12098.35</v>
      </c>
    </row>
    <row r="1386" spans="1:2" x14ac:dyDescent="0.3">
      <c r="A1386" s="101">
        <v>43867</v>
      </c>
      <c r="B1386" s="102">
        <v>12137.95</v>
      </c>
    </row>
    <row r="1387" spans="1:2" x14ac:dyDescent="0.3">
      <c r="A1387" s="101">
        <v>43866</v>
      </c>
      <c r="B1387" s="102">
        <v>12089.15</v>
      </c>
    </row>
    <row r="1388" spans="1:2" x14ac:dyDescent="0.3">
      <c r="A1388" s="101">
        <v>43865</v>
      </c>
      <c r="B1388" s="102">
        <v>11979.65</v>
      </c>
    </row>
    <row r="1389" spans="1:2" x14ac:dyDescent="0.3">
      <c r="A1389" s="101">
        <v>43864</v>
      </c>
      <c r="B1389" s="102">
        <v>11707.9</v>
      </c>
    </row>
    <row r="1390" spans="1:2" x14ac:dyDescent="0.3">
      <c r="A1390" s="101">
        <v>43862</v>
      </c>
      <c r="B1390" s="102">
        <v>11661.85</v>
      </c>
    </row>
    <row r="1391" spans="1:2" x14ac:dyDescent="0.3">
      <c r="A1391" s="101">
        <v>43861</v>
      </c>
      <c r="B1391" s="102">
        <v>11962.1</v>
      </c>
    </row>
    <row r="1392" spans="1:2" x14ac:dyDescent="0.3">
      <c r="A1392" s="101">
        <v>43860</v>
      </c>
      <c r="B1392" s="102">
        <v>12035.8</v>
      </c>
    </row>
    <row r="1393" spans="1:2" x14ac:dyDescent="0.3">
      <c r="A1393" s="101">
        <v>43859</v>
      </c>
      <c r="B1393" s="102">
        <v>12129.5</v>
      </c>
    </row>
    <row r="1394" spans="1:2" x14ac:dyDescent="0.3">
      <c r="A1394" s="101">
        <v>43858</v>
      </c>
      <c r="B1394" s="102">
        <v>12055.8</v>
      </c>
    </row>
    <row r="1395" spans="1:2" x14ac:dyDescent="0.3">
      <c r="A1395" s="101">
        <v>43857</v>
      </c>
      <c r="B1395" s="102">
        <v>12119</v>
      </c>
    </row>
    <row r="1396" spans="1:2" x14ac:dyDescent="0.3">
      <c r="A1396" s="101">
        <v>43854</v>
      </c>
      <c r="B1396" s="102">
        <v>12248.25</v>
      </c>
    </row>
    <row r="1397" spans="1:2" x14ac:dyDescent="0.3">
      <c r="A1397" s="101">
        <v>43853</v>
      </c>
      <c r="B1397" s="102">
        <v>12180.35</v>
      </c>
    </row>
    <row r="1398" spans="1:2" x14ac:dyDescent="0.3">
      <c r="A1398" s="101">
        <v>43852</v>
      </c>
      <c r="B1398" s="102">
        <v>12106.9</v>
      </c>
    </row>
    <row r="1399" spans="1:2" x14ac:dyDescent="0.3">
      <c r="A1399" s="101">
        <v>43851</v>
      </c>
      <c r="B1399" s="102">
        <v>12169.85</v>
      </c>
    </row>
    <row r="1400" spans="1:2" x14ac:dyDescent="0.3">
      <c r="A1400" s="101">
        <v>43850</v>
      </c>
      <c r="B1400" s="102">
        <v>12224.55</v>
      </c>
    </row>
    <row r="1401" spans="1:2" x14ac:dyDescent="0.3">
      <c r="A1401" s="101">
        <v>43847</v>
      </c>
      <c r="B1401" s="102">
        <v>12352.35</v>
      </c>
    </row>
    <row r="1402" spans="1:2" x14ac:dyDescent="0.3">
      <c r="A1402" s="101">
        <v>43846</v>
      </c>
      <c r="B1402" s="102">
        <v>12355.5</v>
      </c>
    </row>
    <row r="1403" spans="1:2" x14ac:dyDescent="0.3">
      <c r="A1403" s="101">
        <v>43845</v>
      </c>
      <c r="B1403" s="102">
        <v>12343.3</v>
      </c>
    </row>
    <row r="1404" spans="1:2" x14ac:dyDescent="0.3">
      <c r="A1404" s="101">
        <v>43844</v>
      </c>
      <c r="B1404" s="102">
        <v>12362.3</v>
      </c>
    </row>
    <row r="1405" spans="1:2" x14ac:dyDescent="0.3">
      <c r="A1405" s="101">
        <v>43843</v>
      </c>
      <c r="B1405" s="102">
        <v>12329.55</v>
      </c>
    </row>
    <row r="1406" spans="1:2" x14ac:dyDescent="0.3">
      <c r="A1406" s="101">
        <v>43840</v>
      </c>
      <c r="B1406" s="102">
        <v>12256.8</v>
      </c>
    </row>
    <row r="1407" spans="1:2" x14ac:dyDescent="0.3">
      <c r="A1407" s="101">
        <v>43839</v>
      </c>
      <c r="B1407" s="102">
        <v>12215.9</v>
      </c>
    </row>
    <row r="1408" spans="1:2" x14ac:dyDescent="0.3">
      <c r="A1408" s="101">
        <v>43838</v>
      </c>
      <c r="B1408" s="102">
        <v>12025.35</v>
      </c>
    </row>
    <row r="1409" spans="1:2" x14ac:dyDescent="0.3">
      <c r="A1409" s="101">
        <v>43837</v>
      </c>
      <c r="B1409" s="102">
        <v>12052.95</v>
      </c>
    </row>
    <row r="1410" spans="1:2" x14ac:dyDescent="0.3">
      <c r="A1410" s="101">
        <v>43836</v>
      </c>
      <c r="B1410" s="102">
        <v>11993.05</v>
      </c>
    </row>
    <row r="1411" spans="1:2" x14ac:dyDescent="0.3">
      <c r="A1411" s="101">
        <v>43833</v>
      </c>
      <c r="B1411" s="102">
        <v>12226.65</v>
      </c>
    </row>
    <row r="1412" spans="1:2" x14ac:dyDescent="0.3">
      <c r="A1412" s="101">
        <v>43832</v>
      </c>
      <c r="B1412" s="102">
        <v>12282.2</v>
      </c>
    </row>
    <row r="1413" spans="1:2" x14ac:dyDescent="0.3">
      <c r="A1413" s="101">
        <v>43831</v>
      </c>
      <c r="B1413" s="102">
        <v>12182.5</v>
      </c>
    </row>
    <row r="1414" spans="1:2" x14ac:dyDescent="0.3">
      <c r="A1414" s="101">
        <v>43830</v>
      </c>
      <c r="B1414" s="102">
        <v>12168.45</v>
      </c>
    </row>
    <row r="1415" spans="1:2" x14ac:dyDescent="0.3">
      <c r="A1415" s="101">
        <v>43829</v>
      </c>
      <c r="B1415" s="102">
        <v>12255.85</v>
      </c>
    </row>
    <row r="1416" spans="1:2" x14ac:dyDescent="0.3">
      <c r="A1416" s="101">
        <v>43826</v>
      </c>
      <c r="B1416" s="102">
        <v>12245.8</v>
      </c>
    </row>
    <row r="1417" spans="1:2" x14ac:dyDescent="0.3">
      <c r="A1417" s="101">
        <v>43825</v>
      </c>
      <c r="B1417" s="102">
        <v>12126.55</v>
      </c>
    </row>
    <row r="1418" spans="1:2" x14ac:dyDescent="0.3">
      <c r="A1418" s="101">
        <v>43823</v>
      </c>
      <c r="B1418" s="102">
        <v>12214.55</v>
      </c>
    </row>
    <row r="1419" spans="1:2" x14ac:dyDescent="0.3">
      <c r="A1419" s="101">
        <v>43822</v>
      </c>
      <c r="B1419" s="102">
        <v>12262.75</v>
      </c>
    </row>
    <row r="1420" spans="1:2" x14ac:dyDescent="0.3">
      <c r="A1420" s="101">
        <v>43819</v>
      </c>
      <c r="B1420" s="102">
        <v>12271.8</v>
      </c>
    </row>
    <row r="1421" spans="1:2" x14ac:dyDescent="0.3">
      <c r="A1421" s="101">
        <v>43818</v>
      </c>
      <c r="B1421" s="102">
        <v>12259.7</v>
      </c>
    </row>
    <row r="1422" spans="1:2" x14ac:dyDescent="0.3">
      <c r="A1422" s="101">
        <v>43817</v>
      </c>
      <c r="B1422" s="102">
        <v>12221.65</v>
      </c>
    </row>
    <row r="1423" spans="1:2" x14ac:dyDescent="0.3">
      <c r="A1423" s="101">
        <v>43816</v>
      </c>
      <c r="B1423" s="102">
        <v>12165</v>
      </c>
    </row>
    <row r="1424" spans="1:2" x14ac:dyDescent="0.3">
      <c r="A1424" s="101">
        <v>43815</v>
      </c>
      <c r="B1424" s="102">
        <v>12053.95</v>
      </c>
    </row>
    <row r="1425" spans="1:2" x14ac:dyDescent="0.3">
      <c r="A1425" s="101">
        <v>43812</v>
      </c>
      <c r="B1425" s="102">
        <v>12086.7</v>
      </c>
    </row>
    <row r="1426" spans="1:2" x14ac:dyDescent="0.3">
      <c r="A1426" s="101">
        <v>43811</v>
      </c>
      <c r="B1426" s="102">
        <v>11971.8</v>
      </c>
    </row>
    <row r="1427" spans="1:2" x14ac:dyDescent="0.3">
      <c r="A1427" s="101">
        <v>43810</v>
      </c>
      <c r="B1427" s="102">
        <v>11910.15</v>
      </c>
    </row>
    <row r="1428" spans="1:2" x14ac:dyDescent="0.3">
      <c r="A1428" s="101">
        <v>43809</v>
      </c>
      <c r="B1428" s="102">
        <v>11856.8</v>
      </c>
    </row>
    <row r="1429" spans="1:2" x14ac:dyDescent="0.3">
      <c r="A1429" s="101">
        <v>43808</v>
      </c>
      <c r="B1429" s="102">
        <v>11937.5</v>
      </c>
    </row>
    <row r="1430" spans="1:2" x14ac:dyDescent="0.3">
      <c r="A1430" s="101">
        <v>43805</v>
      </c>
      <c r="B1430" s="102">
        <v>11921.5</v>
      </c>
    </row>
    <row r="1431" spans="1:2" x14ac:dyDescent="0.3">
      <c r="A1431" s="101">
        <v>43804</v>
      </c>
      <c r="B1431" s="102">
        <v>12018.4</v>
      </c>
    </row>
    <row r="1432" spans="1:2" x14ac:dyDescent="0.3">
      <c r="A1432" s="101">
        <v>43803</v>
      </c>
      <c r="B1432" s="102">
        <v>12043.2</v>
      </c>
    </row>
    <row r="1433" spans="1:2" x14ac:dyDescent="0.3">
      <c r="A1433" s="101">
        <v>43802</v>
      </c>
      <c r="B1433" s="102">
        <v>11994.2</v>
      </c>
    </row>
    <row r="1434" spans="1:2" x14ac:dyDescent="0.3">
      <c r="A1434" s="101">
        <v>43801</v>
      </c>
      <c r="B1434" s="102">
        <v>12048.2</v>
      </c>
    </row>
    <row r="1435" spans="1:2" x14ac:dyDescent="0.3">
      <c r="A1435" s="101">
        <v>43798</v>
      </c>
      <c r="B1435" s="102">
        <v>12056.05</v>
      </c>
    </row>
    <row r="1436" spans="1:2" x14ac:dyDescent="0.3">
      <c r="A1436" s="101">
        <v>43797</v>
      </c>
      <c r="B1436" s="102">
        <v>12151.15</v>
      </c>
    </row>
    <row r="1437" spans="1:2" x14ac:dyDescent="0.3">
      <c r="A1437" s="101">
        <v>43796</v>
      </c>
      <c r="B1437" s="102">
        <v>12100.7</v>
      </c>
    </row>
    <row r="1438" spans="1:2" x14ac:dyDescent="0.3">
      <c r="A1438" s="101">
        <v>43795</v>
      </c>
      <c r="B1438" s="102">
        <v>12037.7</v>
      </c>
    </row>
    <row r="1439" spans="1:2" x14ac:dyDescent="0.3">
      <c r="A1439" s="101">
        <v>43794</v>
      </c>
      <c r="B1439" s="102">
        <v>12073.75</v>
      </c>
    </row>
    <row r="1440" spans="1:2" x14ac:dyDescent="0.3">
      <c r="A1440" s="101">
        <v>43791</v>
      </c>
      <c r="B1440" s="102">
        <v>11914.4</v>
      </c>
    </row>
    <row r="1441" spans="1:2" x14ac:dyDescent="0.3">
      <c r="A1441" s="101">
        <v>43790</v>
      </c>
      <c r="B1441" s="102">
        <v>11968.4</v>
      </c>
    </row>
    <row r="1442" spans="1:2" x14ac:dyDescent="0.3">
      <c r="A1442" s="101">
        <v>43789</v>
      </c>
      <c r="B1442" s="102">
        <v>11999.1</v>
      </c>
    </row>
    <row r="1443" spans="1:2" x14ac:dyDescent="0.3">
      <c r="A1443" s="101">
        <v>43788</v>
      </c>
      <c r="B1443" s="102">
        <v>11940.1</v>
      </c>
    </row>
    <row r="1444" spans="1:2" x14ac:dyDescent="0.3">
      <c r="A1444" s="101">
        <v>43787</v>
      </c>
      <c r="B1444" s="102">
        <v>11884.5</v>
      </c>
    </row>
    <row r="1445" spans="1:2" x14ac:dyDescent="0.3">
      <c r="A1445" s="101">
        <v>43784</v>
      </c>
      <c r="B1445" s="102">
        <v>11895.45</v>
      </c>
    </row>
    <row r="1446" spans="1:2" x14ac:dyDescent="0.3">
      <c r="A1446" s="101">
        <v>43783</v>
      </c>
      <c r="B1446" s="102">
        <v>11872.1</v>
      </c>
    </row>
    <row r="1447" spans="1:2" x14ac:dyDescent="0.3">
      <c r="A1447" s="101">
        <v>43782</v>
      </c>
      <c r="B1447" s="102">
        <v>11840.45</v>
      </c>
    </row>
    <row r="1448" spans="1:2" x14ac:dyDescent="0.3">
      <c r="A1448" s="101">
        <v>43780</v>
      </c>
      <c r="B1448" s="102">
        <v>11913.45</v>
      </c>
    </row>
    <row r="1449" spans="1:2" x14ac:dyDescent="0.3">
      <c r="A1449" s="101">
        <v>43777</v>
      </c>
      <c r="B1449" s="102">
        <v>11908.15</v>
      </c>
    </row>
    <row r="1450" spans="1:2" x14ac:dyDescent="0.3">
      <c r="A1450" s="101">
        <v>43776</v>
      </c>
      <c r="B1450" s="102">
        <v>12012.05</v>
      </c>
    </row>
    <row r="1451" spans="1:2" x14ac:dyDescent="0.3">
      <c r="A1451" s="101">
        <v>43775</v>
      </c>
      <c r="B1451" s="102">
        <v>11966.05</v>
      </c>
    </row>
    <row r="1452" spans="1:2" x14ac:dyDescent="0.3">
      <c r="A1452" s="101">
        <v>43774</v>
      </c>
      <c r="B1452" s="102">
        <v>11917.2</v>
      </c>
    </row>
    <row r="1453" spans="1:2" x14ac:dyDescent="0.3">
      <c r="A1453" s="101">
        <v>43773</v>
      </c>
      <c r="B1453" s="102">
        <v>11941.3</v>
      </c>
    </row>
    <row r="1454" spans="1:2" x14ac:dyDescent="0.3">
      <c r="A1454" s="101">
        <v>43770</v>
      </c>
      <c r="B1454" s="102">
        <v>11890.6</v>
      </c>
    </row>
    <row r="1455" spans="1:2" x14ac:dyDescent="0.3">
      <c r="A1455" s="101">
        <v>43769</v>
      </c>
      <c r="B1455" s="102">
        <v>11877.45</v>
      </c>
    </row>
    <row r="1456" spans="1:2" x14ac:dyDescent="0.3">
      <c r="A1456" s="101">
        <v>43768</v>
      </c>
      <c r="B1456" s="102">
        <v>11844.1</v>
      </c>
    </row>
    <row r="1457" spans="1:2" x14ac:dyDescent="0.3">
      <c r="A1457" s="101">
        <v>43767</v>
      </c>
      <c r="B1457" s="102">
        <v>11786.85</v>
      </c>
    </row>
    <row r="1458" spans="1:2" x14ac:dyDescent="0.3">
      <c r="A1458" s="101">
        <v>43765</v>
      </c>
      <c r="B1458" s="102">
        <v>11627.15</v>
      </c>
    </row>
    <row r="1459" spans="1:2" x14ac:dyDescent="0.3">
      <c r="A1459" s="101">
        <v>43763</v>
      </c>
      <c r="B1459" s="102">
        <v>11583.9</v>
      </c>
    </row>
    <row r="1460" spans="1:2" x14ac:dyDescent="0.3">
      <c r="A1460" s="101">
        <v>43762</v>
      </c>
      <c r="B1460" s="102">
        <v>11582.6</v>
      </c>
    </row>
    <row r="1461" spans="1:2" x14ac:dyDescent="0.3">
      <c r="A1461" s="101">
        <v>43761</v>
      </c>
      <c r="B1461" s="102">
        <v>11604.1</v>
      </c>
    </row>
    <row r="1462" spans="1:2" x14ac:dyDescent="0.3">
      <c r="A1462" s="101">
        <v>43760</v>
      </c>
      <c r="B1462" s="102">
        <v>11588.35</v>
      </c>
    </row>
    <row r="1463" spans="1:2" x14ac:dyDescent="0.3">
      <c r="A1463" s="101">
        <v>43756</v>
      </c>
      <c r="B1463" s="102">
        <v>11661.85</v>
      </c>
    </row>
    <row r="1464" spans="1:2" x14ac:dyDescent="0.3">
      <c r="A1464" s="101">
        <v>43755</v>
      </c>
      <c r="B1464" s="102">
        <v>11586.35</v>
      </c>
    </row>
    <row r="1465" spans="1:2" x14ac:dyDescent="0.3">
      <c r="A1465" s="101">
        <v>43754</v>
      </c>
      <c r="B1465" s="102">
        <v>11464</v>
      </c>
    </row>
    <row r="1466" spans="1:2" x14ac:dyDescent="0.3">
      <c r="A1466" s="101">
        <v>43753</v>
      </c>
      <c r="B1466" s="102">
        <v>11428.3</v>
      </c>
    </row>
    <row r="1467" spans="1:2" x14ac:dyDescent="0.3">
      <c r="A1467" s="101">
        <v>43752</v>
      </c>
      <c r="B1467" s="102">
        <v>11341.15</v>
      </c>
    </row>
    <row r="1468" spans="1:2" x14ac:dyDescent="0.3">
      <c r="A1468" s="101">
        <v>43749</v>
      </c>
      <c r="B1468" s="102">
        <v>11305.05</v>
      </c>
    </row>
    <row r="1469" spans="1:2" x14ac:dyDescent="0.3">
      <c r="A1469" s="101">
        <v>43748</v>
      </c>
      <c r="B1469" s="102">
        <v>11234.55</v>
      </c>
    </row>
    <row r="1470" spans="1:2" x14ac:dyDescent="0.3">
      <c r="A1470" s="101">
        <v>43747</v>
      </c>
      <c r="B1470" s="102">
        <v>11313.3</v>
      </c>
    </row>
    <row r="1471" spans="1:2" x14ac:dyDescent="0.3">
      <c r="A1471" s="101">
        <v>43745</v>
      </c>
      <c r="B1471" s="102">
        <v>11126.4</v>
      </c>
    </row>
    <row r="1472" spans="1:2" x14ac:dyDescent="0.3">
      <c r="A1472" s="101">
        <v>43742</v>
      </c>
      <c r="B1472" s="102">
        <v>11174.75</v>
      </c>
    </row>
    <row r="1473" spans="1:2" x14ac:dyDescent="0.3">
      <c r="A1473" s="101">
        <v>43741</v>
      </c>
      <c r="B1473" s="102">
        <v>11314</v>
      </c>
    </row>
    <row r="1474" spans="1:2" x14ac:dyDescent="0.3">
      <c r="A1474" s="101">
        <v>43739</v>
      </c>
      <c r="B1474" s="102">
        <v>11359.9</v>
      </c>
    </row>
    <row r="1475" spans="1:2" x14ac:dyDescent="0.3">
      <c r="A1475" s="101">
        <v>43738</v>
      </c>
      <c r="B1475" s="102">
        <v>11474.45</v>
      </c>
    </row>
    <row r="1476" spans="1:2" x14ac:dyDescent="0.3">
      <c r="A1476" s="101">
        <v>43735</v>
      </c>
      <c r="B1476" s="102">
        <v>11512.4</v>
      </c>
    </row>
    <row r="1477" spans="1:2" x14ac:dyDescent="0.3">
      <c r="A1477" s="101">
        <v>43734</v>
      </c>
      <c r="B1477" s="102">
        <v>11571.2</v>
      </c>
    </row>
    <row r="1478" spans="1:2" x14ac:dyDescent="0.3">
      <c r="A1478" s="101">
        <v>43733</v>
      </c>
      <c r="B1478" s="102">
        <v>11440.2</v>
      </c>
    </row>
    <row r="1479" spans="1:2" x14ac:dyDescent="0.3">
      <c r="A1479" s="101">
        <v>43732</v>
      </c>
      <c r="B1479" s="102">
        <v>11588.2</v>
      </c>
    </row>
    <row r="1480" spans="1:2" x14ac:dyDescent="0.3">
      <c r="A1480" s="101">
        <v>43731</v>
      </c>
      <c r="B1480" s="102">
        <v>11600.2</v>
      </c>
    </row>
    <row r="1481" spans="1:2" x14ac:dyDescent="0.3">
      <c r="A1481" s="101">
        <v>43728</v>
      </c>
      <c r="B1481" s="102">
        <v>11274.2</v>
      </c>
    </row>
    <row r="1482" spans="1:2" x14ac:dyDescent="0.3">
      <c r="A1482" s="101">
        <v>43727</v>
      </c>
      <c r="B1482" s="102">
        <v>10704.8</v>
      </c>
    </row>
    <row r="1483" spans="1:2" x14ac:dyDescent="0.3">
      <c r="A1483" s="101">
        <v>43726</v>
      </c>
      <c r="B1483" s="102">
        <v>10840.65</v>
      </c>
    </row>
    <row r="1484" spans="1:2" x14ac:dyDescent="0.3">
      <c r="A1484" s="101">
        <v>43725</v>
      </c>
      <c r="B1484" s="102">
        <v>10817.6</v>
      </c>
    </row>
    <row r="1485" spans="1:2" x14ac:dyDescent="0.3">
      <c r="A1485" s="101">
        <v>43724</v>
      </c>
      <c r="B1485" s="102">
        <v>11003.5</v>
      </c>
    </row>
    <row r="1486" spans="1:2" x14ac:dyDescent="0.3">
      <c r="A1486" s="101">
        <v>43721</v>
      </c>
      <c r="B1486" s="102">
        <v>11075.9</v>
      </c>
    </row>
    <row r="1487" spans="1:2" x14ac:dyDescent="0.3">
      <c r="A1487" s="101">
        <v>43720</v>
      </c>
      <c r="B1487" s="102">
        <v>10982.8</v>
      </c>
    </row>
    <row r="1488" spans="1:2" x14ac:dyDescent="0.3">
      <c r="A1488" s="101">
        <v>43719</v>
      </c>
      <c r="B1488" s="102">
        <v>11035.7</v>
      </c>
    </row>
    <row r="1489" spans="1:2" x14ac:dyDescent="0.3">
      <c r="A1489" s="101">
        <v>43717</v>
      </c>
      <c r="B1489" s="102">
        <v>11003.05</v>
      </c>
    </row>
    <row r="1490" spans="1:2" x14ac:dyDescent="0.3">
      <c r="A1490" s="101">
        <v>43714</v>
      </c>
      <c r="B1490" s="102">
        <v>10946.2</v>
      </c>
    </row>
    <row r="1491" spans="1:2" x14ac:dyDescent="0.3">
      <c r="A1491" s="101">
        <v>43713</v>
      </c>
      <c r="B1491" s="102">
        <v>10847.9</v>
      </c>
    </row>
    <row r="1492" spans="1:2" x14ac:dyDescent="0.3">
      <c r="A1492" s="101">
        <v>43712</v>
      </c>
      <c r="B1492" s="102">
        <v>10844.65</v>
      </c>
    </row>
    <row r="1493" spans="1:2" x14ac:dyDescent="0.3">
      <c r="A1493" s="101">
        <v>43711</v>
      </c>
      <c r="B1493" s="102">
        <v>10797.9</v>
      </c>
    </row>
    <row r="1494" spans="1:2" x14ac:dyDescent="0.3">
      <c r="A1494" s="101">
        <v>43707</v>
      </c>
      <c r="B1494" s="102">
        <v>11023.25</v>
      </c>
    </row>
    <row r="1495" spans="1:2" x14ac:dyDescent="0.3">
      <c r="A1495" s="101">
        <v>43706</v>
      </c>
      <c r="B1495" s="102">
        <v>10948.3</v>
      </c>
    </row>
    <row r="1496" spans="1:2" x14ac:dyDescent="0.3">
      <c r="A1496" s="101">
        <v>43705</v>
      </c>
      <c r="B1496" s="102">
        <v>11046.1</v>
      </c>
    </row>
    <row r="1497" spans="1:2" x14ac:dyDescent="0.3">
      <c r="A1497" s="101">
        <v>43704</v>
      </c>
      <c r="B1497" s="102">
        <v>11105.35</v>
      </c>
    </row>
    <row r="1498" spans="1:2" x14ac:dyDescent="0.3">
      <c r="A1498" s="101">
        <v>43703</v>
      </c>
      <c r="B1498" s="102">
        <v>11057.85</v>
      </c>
    </row>
    <row r="1499" spans="1:2" x14ac:dyDescent="0.3">
      <c r="A1499" s="101">
        <v>43700</v>
      </c>
      <c r="B1499" s="102">
        <v>10829.35</v>
      </c>
    </row>
    <row r="1500" spans="1:2" x14ac:dyDescent="0.3">
      <c r="A1500" s="101">
        <v>43699</v>
      </c>
      <c r="B1500" s="102">
        <v>10741.35</v>
      </c>
    </row>
    <row r="1501" spans="1:2" x14ac:dyDescent="0.3">
      <c r="A1501" s="101">
        <v>43698</v>
      </c>
      <c r="B1501" s="102">
        <v>10918.7</v>
      </c>
    </row>
    <row r="1502" spans="1:2" x14ac:dyDescent="0.3">
      <c r="A1502" s="101">
        <v>43697</v>
      </c>
      <c r="B1502" s="102">
        <v>11017</v>
      </c>
    </row>
    <row r="1503" spans="1:2" x14ac:dyDescent="0.3">
      <c r="A1503" s="101">
        <v>43696</v>
      </c>
      <c r="B1503" s="102">
        <v>11053.9</v>
      </c>
    </row>
    <row r="1504" spans="1:2" x14ac:dyDescent="0.3">
      <c r="A1504" s="101">
        <v>43693</v>
      </c>
      <c r="B1504" s="102">
        <v>11047.8</v>
      </c>
    </row>
    <row r="1505" spans="1:2" x14ac:dyDescent="0.3">
      <c r="A1505" s="101">
        <v>43691</v>
      </c>
      <c r="B1505" s="102">
        <v>11029.4</v>
      </c>
    </row>
    <row r="1506" spans="1:2" x14ac:dyDescent="0.3">
      <c r="A1506" s="101">
        <v>43690</v>
      </c>
      <c r="B1506" s="102">
        <v>10925.85</v>
      </c>
    </row>
    <row r="1507" spans="1:2" x14ac:dyDescent="0.3">
      <c r="A1507" s="101">
        <v>43686</v>
      </c>
      <c r="B1507" s="102">
        <v>11109.65</v>
      </c>
    </row>
    <row r="1508" spans="1:2" x14ac:dyDescent="0.3">
      <c r="A1508" s="101">
        <v>43685</v>
      </c>
      <c r="B1508" s="102">
        <v>11032.45</v>
      </c>
    </row>
    <row r="1509" spans="1:2" x14ac:dyDescent="0.3">
      <c r="A1509" s="101">
        <v>43684</v>
      </c>
      <c r="B1509" s="102">
        <v>10855.5</v>
      </c>
    </row>
    <row r="1510" spans="1:2" x14ac:dyDescent="0.3">
      <c r="A1510" s="101">
        <v>43683</v>
      </c>
      <c r="B1510" s="102">
        <v>10948.25</v>
      </c>
    </row>
    <row r="1511" spans="1:2" x14ac:dyDescent="0.3">
      <c r="A1511" s="101">
        <v>43682</v>
      </c>
      <c r="B1511" s="102">
        <v>10862.6</v>
      </c>
    </row>
    <row r="1512" spans="1:2" x14ac:dyDescent="0.3">
      <c r="A1512" s="101">
        <v>43679</v>
      </c>
      <c r="B1512" s="102">
        <v>10997.35</v>
      </c>
    </row>
    <row r="1513" spans="1:2" x14ac:dyDescent="0.3">
      <c r="A1513" s="101">
        <v>43678</v>
      </c>
      <c r="B1513" s="102">
        <v>10980</v>
      </c>
    </row>
    <row r="1514" spans="1:2" x14ac:dyDescent="0.3">
      <c r="A1514" s="101">
        <v>43677</v>
      </c>
      <c r="B1514" s="102">
        <v>11118</v>
      </c>
    </row>
    <row r="1515" spans="1:2" x14ac:dyDescent="0.3">
      <c r="A1515" s="101">
        <v>43676</v>
      </c>
      <c r="B1515" s="102">
        <v>11085.4</v>
      </c>
    </row>
    <row r="1516" spans="1:2" x14ac:dyDescent="0.3">
      <c r="A1516" s="101">
        <v>43675</v>
      </c>
      <c r="B1516" s="102">
        <v>11189.2</v>
      </c>
    </row>
    <row r="1517" spans="1:2" x14ac:dyDescent="0.3">
      <c r="A1517" s="101">
        <v>43672</v>
      </c>
      <c r="B1517" s="102">
        <v>11284.3</v>
      </c>
    </row>
    <row r="1518" spans="1:2" x14ac:dyDescent="0.3">
      <c r="A1518" s="101">
        <v>43671</v>
      </c>
      <c r="B1518" s="102">
        <v>11252.15</v>
      </c>
    </row>
    <row r="1519" spans="1:2" x14ac:dyDescent="0.3">
      <c r="A1519" s="101">
        <v>43670</v>
      </c>
      <c r="B1519" s="102">
        <v>11271.3</v>
      </c>
    </row>
    <row r="1520" spans="1:2" x14ac:dyDescent="0.3">
      <c r="A1520" s="101">
        <v>43669</v>
      </c>
      <c r="B1520" s="102">
        <v>11331.05</v>
      </c>
    </row>
    <row r="1521" spans="1:2" x14ac:dyDescent="0.3">
      <c r="A1521" s="101">
        <v>43668</v>
      </c>
      <c r="B1521" s="102">
        <v>11346.2</v>
      </c>
    </row>
    <row r="1522" spans="1:2" x14ac:dyDescent="0.3">
      <c r="A1522" s="101">
        <v>43665</v>
      </c>
      <c r="B1522" s="102">
        <v>11419.25</v>
      </c>
    </row>
    <row r="1523" spans="1:2" x14ac:dyDescent="0.3">
      <c r="A1523" s="101">
        <v>43664</v>
      </c>
      <c r="B1523" s="102">
        <v>11596.9</v>
      </c>
    </row>
    <row r="1524" spans="1:2" x14ac:dyDescent="0.3">
      <c r="A1524" s="101">
        <v>43663</v>
      </c>
      <c r="B1524" s="102">
        <v>11687.5</v>
      </c>
    </row>
    <row r="1525" spans="1:2" x14ac:dyDescent="0.3">
      <c r="A1525" s="101">
        <v>43662</v>
      </c>
      <c r="B1525" s="102">
        <v>11662.6</v>
      </c>
    </row>
    <row r="1526" spans="1:2" x14ac:dyDescent="0.3">
      <c r="A1526" s="101">
        <v>43661</v>
      </c>
      <c r="B1526" s="102">
        <v>11588.35</v>
      </c>
    </row>
    <row r="1527" spans="1:2" x14ac:dyDescent="0.3">
      <c r="A1527" s="101">
        <v>43658</v>
      </c>
      <c r="B1527" s="102">
        <v>11552.5</v>
      </c>
    </row>
    <row r="1528" spans="1:2" x14ac:dyDescent="0.3">
      <c r="A1528" s="101">
        <v>43657</v>
      </c>
      <c r="B1528" s="102">
        <v>11582.9</v>
      </c>
    </row>
    <row r="1529" spans="1:2" x14ac:dyDescent="0.3">
      <c r="A1529" s="101">
        <v>43656</v>
      </c>
      <c r="B1529" s="102">
        <v>11498.9</v>
      </c>
    </row>
    <row r="1530" spans="1:2" x14ac:dyDescent="0.3">
      <c r="A1530" s="101">
        <v>43655</v>
      </c>
      <c r="B1530" s="102">
        <v>11555.9</v>
      </c>
    </row>
    <row r="1531" spans="1:2" x14ac:dyDescent="0.3">
      <c r="A1531" s="101">
        <v>43654</v>
      </c>
      <c r="B1531" s="102">
        <v>11558.6</v>
      </c>
    </row>
    <row r="1532" spans="1:2" x14ac:dyDescent="0.3">
      <c r="A1532" s="101">
        <v>43651</v>
      </c>
      <c r="B1532" s="102">
        <v>11811.15</v>
      </c>
    </row>
    <row r="1533" spans="1:2" x14ac:dyDescent="0.3">
      <c r="A1533" s="101">
        <v>43650</v>
      </c>
      <c r="B1533" s="102">
        <v>11946.75</v>
      </c>
    </row>
    <row r="1534" spans="1:2" x14ac:dyDescent="0.3">
      <c r="A1534" s="101">
        <v>43649</v>
      </c>
      <c r="B1534" s="102">
        <v>11916.75</v>
      </c>
    </row>
    <row r="1535" spans="1:2" x14ac:dyDescent="0.3">
      <c r="A1535" s="101">
        <v>43648</v>
      </c>
      <c r="B1535" s="102">
        <v>11910.3</v>
      </c>
    </row>
    <row r="1536" spans="1:2" x14ac:dyDescent="0.3">
      <c r="A1536" s="101">
        <v>43647</v>
      </c>
      <c r="B1536" s="102">
        <v>11865.6</v>
      </c>
    </row>
    <row r="1537" spans="1:2" x14ac:dyDescent="0.3">
      <c r="A1537" s="101">
        <v>43644</v>
      </c>
      <c r="B1537" s="102">
        <v>11788.85</v>
      </c>
    </row>
    <row r="1538" spans="1:2" x14ac:dyDescent="0.3">
      <c r="A1538" s="101">
        <v>43643</v>
      </c>
      <c r="B1538" s="102">
        <v>11841.55</v>
      </c>
    </row>
    <row r="1539" spans="1:2" x14ac:dyDescent="0.3">
      <c r="A1539" s="101">
        <v>43642</v>
      </c>
      <c r="B1539" s="102">
        <v>11847.55</v>
      </c>
    </row>
    <row r="1540" spans="1:2" x14ac:dyDescent="0.3">
      <c r="A1540" s="101">
        <v>43641</v>
      </c>
      <c r="B1540" s="102">
        <v>11796.45</v>
      </c>
    </row>
    <row r="1541" spans="1:2" x14ac:dyDescent="0.3">
      <c r="A1541" s="101">
        <v>43640</v>
      </c>
      <c r="B1541" s="102">
        <v>11699.65</v>
      </c>
    </row>
    <row r="1542" spans="1:2" x14ac:dyDescent="0.3">
      <c r="A1542" s="101">
        <v>43637</v>
      </c>
      <c r="B1542" s="102">
        <v>11724.1</v>
      </c>
    </row>
    <row r="1543" spans="1:2" x14ac:dyDescent="0.3">
      <c r="A1543" s="101">
        <v>43636</v>
      </c>
      <c r="B1543" s="102">
        <v>11831.75</v>
      </c>
    </row>
    <row r="1544" spans="1:2" x14ac:dyDescent="0.3">
      <c r="A1544" s="101">
        <v>43635</v>
      </c>
      <c r="B1544" s="102">
        <v>11691.45</v>
      </c>
    </row>
    <row r="1545" spans="1:2" x14ac:dyDescent="0.3">
      <c r="A1545" s="101">
        <v>43634</v>
      </c>
      <c r="B1545" s="102">
        <v>11691.5</v>
      </c>
    </row>
    <row r="1546" spans="1:2" x14ac:dyDescent="0.3">
      <c r="A1546" s="101">
        <v>43633</v>
      </c>
      <c r="B1546" s="102">
        <v>11672.15</v>
      </c>
    </row>
    <row r="1547" spans="1:2" x14ac:dyDescent="0.3">
      <c r="A1547" s="101">
        <v>43630</v>
      </c>
      <c r="B1547" s="102">
        <v>11823.3</v>
      </c>
    </row>
    <row r="1548" spans="1:2" x14ac:dyDescent="0.3">
      <c r="A1548" s="101">
        <v>43629</v>
      </c>
      <c r="B1548" s="102">
        <v>11914.05</v>
      </c>
    </row>
    <row r="1549" spans="1:2" x14ac:dyDescent="0.3">
      <c r="A1549" s="101">
        <v>43628</v>
      </c>
      <c r="B1549" s="102">
        <v>11906.2</v>
      </c>
    </row>
    <row r="1550" spans="1:2" x14ac:dyDescent="0.3">
      <c r="A1550" s="101">
        <v>43627</v>
      </c>
      <c r="B1550" s="102">
        <v>11965.6</v>
      </c>
    </row>
    <row r="1551" spans="1:2" x14ac:dyDescent="0.3">
      <c r="A1551" s="101">
        <v>43626</v>
      </c>
      <c r="B1551" s="102">
        <v>11922.7</v>
      </c>
    </row>
    <row r="1552" spans="1:2" x14ac:dyDescent="0.3">
      <c r="A1552" s="101">
        <v>43623</v>
      </c>
      <c r="B1552" s="102">
        <v>11870.65</v>
      </c>
    </row>
    <row r="1553" spans="1:2" x14ac:dyDescent="0.3">
      <c r="A1553" s="101">
        <v>43622</v>
      </c>
      <c r="B1553" s="102">
        <v>11843.75</v>
      </c>
    </row>
    <row r="1554" spans="1:2" x14ac:dyDescent="0.3">
      <c r="A1554" s="101">
        <v>43620</v>
      </c>
      <c r="B1554" s="102">
        <v>12021.65</v>
      </c>
    </row>
    <row r="1555" spans="1:2" x14ac:dyDescent="0.3">
      <c r="A1555" s="101">
        <v>43619</v>
      </c>
      <c r="B1555" s="102">
        <v>12088.55</v>
      </c>
    </row>
    <row r="1556" spans="1:2" x14ac:dyDescent="0.3">
      <c r="A1556" s="101">
        <v>43616</v>
      </c>
      <c r="B1556" s="102">
        <v>11922.8</v>
      </c>
    </row>
    <row r="1557" spans="1:2" x14ac:dyDescent="0.3">
      <c r="A1557" s="101">
        <v>43615</v>
      </c>
      <c r="B1557" s="102">
        <v>11945.9</v>
      </c>
    </row>
    <row r="1558" spans="1:2" x14ac:dyDescent="0.3">
      <c r="A1558" s="101">
        <v>43614</v>
      </c>
      <c r="B1558" s="102">
        <v>11861.1</v>
      </c>
    </row>
    <row r="1559" spans="1:2" x14ac:dyDescent="0.3">
      <c r="A1559" s="101">
        <v>43613</v>
      </c>
      <c r="B1559" s="102">
        <v>11928.75</v>
      </c>
    </row>
    <row r="1560" spans="1:2" x14ac:dyDescent="0.3">
      <c r="A1560" s="101">
        <v>43612</v>
      </c>
      <c r="B1560" s="102">
        <v>11924.75</v>
      </c>
    </row>
    <row r="1561" spans="1:2" x14ac:dyDescent="0.3">
      <c r="A1561" s="101">
        <v>43609</v>
      </c>
      <c r="B1561" s="102">
        <v>11844.1</v>
      </c>
    </row>
    <row r="1562" spans="1:2" x14ac:dyDescent="0.3">
      <c r="A1562" s="101">
        <v>43608</v>
      </c>
      <c r="B1562" s="102">
        <v>11657.05</v>
      </c>
    </row>
    <row r="1563" spans="1:2" x14ac:dyDescent="0.3">
      <c r="A1563" s="101">
        <v>43607</v>
      </c>
      <c r="B1563" s="102">
        <v>11737.9</v>
      </c>
    </row>
    <row r="1564" spans="1:2" x14ac:dyDescent="0.3">
      <c r="A1564" s="101">
        <v>43606</v>
      </c>
      <c r="B1564" s="102">
        <v>11709.1</v>
      </c>
    </row>
    <row r="1565" spans="1:2" x14ac:dyDescent="0.3">
      <c r="A1565" s="101">
        <v>43605</v>
      </c>
      <c r="B1565" s="102">
        <v>11828.25</v>
      </c>
    </row>
    <row r="1566" spans="1:2" x14ac:dyDescent="0.3">
      <c r="A1566" s="101">
        <v>43602</v>
      </c>
      <c r="B1566" s="102">
        <v>11407.15</v>
      </c>
    </row>
    <row r="1567" spans="1:2" x14ac:dyDescent="0.3">
      <c r="A1567" s="101">
        <v>43601</v>
      </c>
      <c r="B1567" s="102">
        <v>11257.1</v>
      </c>
    </row>
    <row r="1568" spans="1:2" x14ac:dyDescent="0.3">
      <c r="A1568" s="101">
        <v>43600</v>
      </c>
      <c r="B1568" s="102">
        <v>11157</v>
      </c>
    </row>
    <row r="1569" spans="1:2" x14ac:dyDescent="0.3">
      <c r="A1569" s="101">
        <v>43599</v>
      </c>
      <c r="B1569" s="102">
        <v>11222.05</v>
      </c>
    </row>
    <row r="1570" spans="1:2" x14ac:dyDescent="0.3">
      <c r="A1570" s="101">
        <v>43598</v>
      </c>
      <c r="B1570" s="102">
        <v>11148.2</v>
      </c>
    </row>
    <row r="1571" spans="1:2" x14ac:dyDescent="0.3">
      <c r="A1571" s="101">
        <v>43595</v>
      </c>
      <c r="B1571" s="102">
        <v>11278.9</v>
      </c>
    </row>
    <row r="1572" spans="1:2" x14ac:dyDescent="0.3">
      <c r="A1572" s="101">
        <v>43594</v>
      </c>
      <c r="B1572" s="102">
        <v>11301.8</v>
      </c>
    </row>
    <row r="1573" spans="1:2" x14ac:dyDescent="0.3">
      <c r="A1573" s="101">
        <v>43593</v>
      </c>
      <c r="B1573" s="102">
        <v>11359.45</v>
      </c>
    </row>
    <row r="1574" spans="1:2" x14ac:dyDescent="0.3">
      <c r="A1574" s="101">
        <v>43592</v>
      </c>
      <c r="B1574" s="102">
        <v>11497.9</v>
      </c>
    </row>
    <row r="1575" spans="1:2" x14ac:dyDescent="0.3">
      <c r="A1575" s="101">
        <v>43591</v>
      </c>
      <c r="B1575" s="102">
        <v>11598.25</v>
      </c>
    </row>
    <row r="1576" spans="1:2" x14ac:dyDescent="0.3">
      <c r="A1576" s="101">
        <v>43588</v>
      </c>
      <c r="B1576" s="102">
        <v>11712.25</v>
      </c>
    </row>
    <row r="1577" spans="1:2" x14ac:dyDescent="0.3">
      <c r="A1577" s="101">
        <v>43587</v>
      </c>
      <c r="B1577" s="102">
        <v>11724.75</v>
      </c>
    </row>
    <row r="1578" spans="1:2" x14ac:dyDescent="0.3">
      <c r="A1578" s="101">
        <v>43585</v>
      </c>
      <c r="B1578" s="102">
        <v>11748.15</v>
      </c>
    </row>
    <row r="1579" spans="1:2" x14ac:dyDescent="0.3">
      <c r="A1579" s="101">
        <v>43581</v>
      </c>
      <c r="B1579" s="102">
        <v>11754.65</v>
      </c>
    </row>
    <row r="1580" spans="1:2" x14ac:dyDescent="0.3">
      <c r="A1580" s="101">
        <v>43580</v>
      </c>
      <c r="B1580" s="102">
        <v>11641.8</v>
      </c>
    </row>
    <row r="1581" spans="1:2" x14ac:dyDescent="0.3">
      <c r="A1581" s="101">
        <v>43579</v>
      </c>
      <c r="B1581" s="102">
        <v>11726.15</v>
      </c>
    </row>
    <row r="1582" spans="1:2" x14ac:dyDescent="0.3">
      <c r="A1582" s="101">
        <v>43578</v>
      </c>
      <c r="B1582" s="102">
        <v>11575.95</v>
      </c>
    </row>
    <row r="1583" spans="1:2" x14ac:dyDescent="0.3">
      <c r="A1583" s="101">
        <v>43577</v>
      </c>
      <c r="B1583" s="102">
        <v>11594.45</v>
      </c>
    </row>
    <row r="1584" spans="1:2" x14ac:dyDescent="0.3">
      <c r="A1584" s="101">
        <v>43573</v>
      </c>
      <c r="B1584" s="102">
        <v>11752.8</v>
      </c>
    </row>
    <row r="1585" spans="1:2" x14ac:dyDescent="0.3">
      <c r="A1585" s="101">
        <v>43571</v>
      </c>
      <c r="B1585" s="102">
        <v>11787.15</v>
      </c>
    </row>
    <row r="1586" spans="1:2" x14ac:dyDescent="0.3">
      <c r="A1586" s="101">
        <v>43570</v>
      </c>
      <c r="B1586" s="102">
        <v>11690.35</v>
      </c>
    </row>
    <row r="1587" spans="1:2" x14ac:dyDescent="0.3">
      <c r="A1587" s="101">
        <v>43567</v>
      </c>
      <c r="B1587" s="102">
        <v>11643.45</v>
      </c>
    </row>
    <row r="1588" spans="1:2" x14ac:dyDescent="0.3">
      <c r="A1588" s="101">
        <v>43566</v>
      </c>
      <c r="B1588" s="102">
        <v>11596.7</v>
      </c>
    </row>
    <row r="1589" spans="1:2" x14ac:dyDescent="0.3">
      <c r="A1589" s="101">
        <v>43565</v>
      </c>
      <c r="B1589" s="102">
        <v>11584.3</v>
      </c>
    </row>
    <row r="1590" spans="1:2" x14ac:dyDescent="0.3">
      <c r="A1590" s="101">
        <v>43564</v>
      </c>
      <c r="B1590" s="102">
        <v>11671.95</v>
      </c>
    </row>
    <row r="1591" spans="1:2" x14ac:dyDescent="0.3">
      <c r="A1591" s="101">
        <v>43563</v>
      </c>
      <c r="B1591" s="102">
        <v>11604.5</v>
      </c>
    </row>
    <row r="1592" spans="1:2" x14ac:dyDescent="0.3">
      <c r="A1592" s="101">
        <v>43560</v>
      </c>
      <c r="B1592" s="102">
        <v>11665.95</v>
      </c>
    </row>
    <row r="1593" spans="1:2" x14ac:dyDescent="0.3">
      <c r="A1593" s="101">
        <v>43559</v>
      </c>
      <c r="B1593" s="102">
        <v>11598</v>
      </c>
    </row>
    <row r="1594" spans="1:2" x14ac:dyDescent="0.3">
      <c r="A1594" s="101">
        <v>43558</v>
      </c>
      <c r="B1594" s="102">
        <v>11643.95</v>
      </c>
    </row>
    <row r="1595" spans="1:2" x14ac:dyDescent="0.3">
      <c r="A1595" s="101">
        <v>43557</v>
      </c>
      <c r="B1595" s="102">
        <v>11713.2</v>
      </c>
    </row>
    <row r="1596" spans="1:2" x14ac:dyDescent="0.3">
      <c r="A1596" s="101">
        <v>43556</v>
      </c>
      <c r="B1596" s="102">
        <v>11669.15</v>
      </c>
    </row>
    <row r="1597" spans="1:2" x14ac:dyDescent="0.3">
      <c r="A1597" s="101">
        <v>43553</v>
      </c>
      <c r="B1597" s="102">
        <v>11623.9</v>
      </c>
    </row>
    <row r="1598" spans="1:2" x14ac:dyDescent="0.3">
      <c r="A1598" s="101">
        <v>43552</v>
      </c>
      <c r="B1598" s="102">
        <v>11570</v>
      </c>
    </row>
    <row r="1599" spans="1:2" x14ac:dyDescent="0.3">
      <c r="A1599" s="101">
        <v>43551</v>
      </c>
      <c r="B1599" s="102">
        <v>11445.05</v>
      </c>
    </row>
    <row r="1600" spans="1:2" x14ac:dyDescent="0.3">
      <c r="A1600" s="101">
        <v>43550</v>
      </c>
      <c r="B1600" s="102">
        <v>11483.25</v>
      </c>
    </row>
    <row r="1601" spans="1:2" x14ac:dyDescent="0.3">
      <c r="A1601" s="101">
        <v>43549</v>
      </c>
      <c r="B1601" s="102">
        <v>11354.25</v>
      </c>
    </row>
    <row r="1602" spans="1:2" x14ac:dyDescent="0.3">
      <c r="A1602" s="101">
        <v>43546</v>
      </c>
      <c r="B1602" s="102">
        <v>11456.9</v>
      </c>
    </row>
    <row r="1603" spans="1:2" x14ac:dyDescent="0.3">
      <c r="A1603" s="101">
        <v>43544</v>
      </c>
      <c r="B1603" s="102">
        <v>11521.05</v>
      </c>
    </row>
    <row r="1604" spans="1:2" x14ac:dyDescent="0.3">
      <c r="A1604" s="101">
        <v>43543</v>
      </c>
      <c r="B1604" s="102">
        <v>11532.4</v>
      </c>
    </row>
    <row r="1605" spans="1:2" x14ac:dyDescent="0.3">
      <c r="A1605" s="101">
        <v>43542</v>
      </c>
      <c r="B1605" s="102">
        <v>11462.2</v>
      </c>
    </row>
    <row r="1606" spans="1:2" x14ac:dyDescent="0.3">
      <c r="A1606" s="101">
        <v>43539</v>
      </c>
      <c r="B1606" s="102">
        <v>11426.85</v>
      </c>
    </row>
    <row r="1607" spans="1:2" x14ac:dyDescent="0.3">
      <c r="A1607" s="101">
        <v>43538</v>
      </c>
      <c r="B1607" s="102">
        <v>11343.25</v>
      </c>
    </row>
    <row r="1608" spans="1:2" x14ac:dyDescent="0.3">
      <c r="A1608" s="101">
        <v>43537</v>
      </c>
      <c r="B1608" s="102">
        <v>11341.7</v>
      </c>
    </row>
    <row r="1609" spans="1:2" x14ac:dyDescent="0.3">
      <c r="A1609" s="101">
        <v>43536</v>
      </c>
      <c r="B1609" s="102">
        <v>11301.2</v>
      </c>
    </row>
    <row r="1610" spans="1:2" x14ac:dyDescent="0.3">
      <c r="A1610" s="101">
        <v>43535</v>
      </c>
      <c r="B1610" s="102">
        <v>11168.05</v>
      </c>
    </row>
    <row r="1611" spans="1:2" x14ac:dyDescent="0.3">
      <c r="A1611" s="101">
        <v>43532</v>
      </c>
      <c r="B1611" s="102">
        <v>11035.4</v>
      </c>
    </row>
    <row r="1612" spans="1:2" x14ac:dyDescent="0.3">
      <c r="A1612" s="101">
        <v>43531</v>
      </c>
      <c r="B1612" s="102">
        <v>11058.2</v>
      </c>
    </row>
    <row r="1613" spans="1:2" x14ac:dyDescent="0.3">
      <c r="A1613" s="101">
        <v>43530</v>
      </c>
      <c r="B1613" s="102">
        <v>11053</v>
      </c>
    </row>
    <row r="1614" spans="1:2" x14ac:dyDescent="0.3">
      <c r="A1614" s="101">
        <v>43529</v>
      </c>
      <c r="B1614" s="102">
        <v>10987.45</v>
      </c>
    </row>
    <row r="1615" spans="1:2" x14ac:dyDescent="0.3">
      <c r="A1615" s="101">
        <v>43525</v>
      </c>
      <c r="B1615" s="102">
        <v>10863.5</v>
      </c>
    </row>
    <row r="1616" spans="1:2" x14ac:dyDescent="0.3">
      <c r="A1616" s="101">
        <v>43524</v>
      </c>
      <c r="B1616" s="102">
        <v>10792.5</v>
      </c>
    </row>
    <row r="1617" spans="1:2" x14ac:dyDescent="0.3">
      <c r="A1617" s="101">
        <v>43523</v>
      </c>
      <c r="B1617" s="102">
        <v>10806.65</v>
      </c>
    </row>
    <row r="1618" spans="1:2" x14ac:dyDescent="0.3">
      <c r="A1618" s="101">
        <v>43522</v>
      </c>
      <c r="B1618" s="102">
        <v>10835.3</v>
      </c>
    </row>
    <row r="1619" spans="1:2" x14ac:dyDescent="0.3">
      <c r="A1619" s="101">
        <v>43521</v>
      </c>
      <c r="B1619" s="102">
        <v>10880.1</v>
      </c>
    </row>
    <row r="1620" spans="1:2" x14ac:dyDescent="0.3">
      <c r="A1620" s="101">
        <v>43518</v>
      </c>
      <c r="B1620" s="102">
        <v>10791.65</v>
      </c>
    </row>
    <row r="1621" spans="1:2" x14ac:dyDescent="0.3">
      <c r="A1621" s="101">
        <v>43517</v>
      </c>
      <c r="B1621" s="102">
        <v>10789.85</v>
      </c>
    </row>
    <row r="1622" spans="1:2" x14ac:dyDescent="0.3">
      <c r="A1622" s="101">
        <v>43516</v>
      </c>
      <c r="B1622" s="102">
        <v>10735.45</v>
      </c>
    </row>
    <row r="1623" spans="1:2" x14ac:dyDescent="0.3">
      <c r="A1623" s="101">
        <v>43515</v>
      </c>
      <c r="B1623" s="102">
        <v>10604.35</v>
      </c>
    </row>
    <row r="1624" spans="1:2" x14ac:dyDescent="0.3">
      <c r="A1624" s="101">
        <v>43514</v>
      </c>
      <c r="B1624" s="102">
        <v>10640.95</v>
      </c>
    </row>
    <row r="1625" spans="1:2" x14ac:dyDescent="0.3">
      <c r="A1625" s="101">
        <v>43511</v>
      </c>
      <c r="B1625" s="102">
        <v>10724.4</v>
      </c>
    </row>
    <row r="1626" spans="1:2" x14ac:dyDescent="0.3">
      <c r="A1626" s="101">
        <v>43510</v>
      </c>
      <c r="B1626" s="102">
        <v>10746.05</v>
      </c>
    </row>
    <row r="1627" spans="1:2" x14ac:dyDescent="0.3">
      <c r="A1627" s="101">
        <v>43509</v>
      </c>
      <c r="B1627" s="102">
        <v>10793.65</v>
      </c>
    </row>
    <row r="1628" spans="1:2" x14ac:dyDescent="0.3">
      <c r="A1628" s="101">
        <v>43508</v>
      </c>
      <c r="B1628" s="102">
        <v>10831.4</v>
      </c>
    </row>
    <row r="1629" spans="1:2" x14ac:dyDescent="0.3">
      <c r="A1629" s="101">
        <v>43507</v>
      </c>
      <c r="B1629" s="102">
        <v>10888.8</v>
      </c>
    </row>
    <row r="1630" spans="1:2" x14ac:dyDescent="0.3">
      <c r="A1630" s="101">
        <v>43504</v>
      </c>
      <c r="B1630" s="102">
        <v>10943.6</v>
      </c>
    </row>
    <row r="1631" spans="1:2" x14ac:dyDescent="0.3">
      <c r="A1631" s="101">
        <v>43503</v>
      </c>
      <c r="B1631" s="102">
        <v>11069.4</v>
      </c>
    </row>
    <row r="1632" spans="1:2" x14ac:dyDescent="0.3">
      <c r="A1632" s="101">
        <v>43502</v>
      </c>
      <c r="B1632" s="102">
        <v>11062.45</v>
      </c>
    </row>
    <row r="1633" spans="1:2" x14ac:dyDescent="0.3">
      <c r="A1633" s="101">
        <v>43501</v>
      </c>
      <c r="B1633" s="102">
        <v>10934.35</v>
      </c>
    </row>
    <row r="1634" spans="1:2" x14ac:dyDescent="0.3">
      <c r="A1634" s="101">
        <v>43500</v>
      </c>
      <c r="B1634" s="102">
        <v>10912.25</v>
      </c>
    </row>
    <row r="1635" spans="1:2" x14ac:dyDescent="0.3">
      <c r="A1635" s="101">
        <v>43497</v>
      </c>
      <c r="B1635" s="102">
        <v>10893.65</v>
      </c>
    </row>
    <row r="1636" spans="1:2" x14ac:dyDescent="0.3">
      <c r="A1636" s="101">
        <v>43496</v>
      </c>
      <c r="B1636" s="102">
        <v>10830.95</v>
      </c>
    </row>
    <row r="1637" spans="1:2" x14ac:dyDescent="0.3">
      <c r="A1637" s="101">
        <v>43495</v>
      </c>
      <c r="B1637" s="102">
        <v>10651.8</v>
      </c>
    </row>
    <row r="1638" spans="1:2" x14ac:dyDescent="0.3">
      <c r="A1638" s="101">
        <v>43494</v>
      </c>
      <c r="B1638" s="102">
        <v>10652.2</v>
      </c>
    </row>
    <row r="1639" spans="1:2" x14ac:dyDescent="0.3">
      <c r="A1639" s="101">
        <v>43493</v>
      </c>
      <c r="B1639" s="102">
        <v>10661.55</v>
      </c>
    </row>
    <row r="1640" spans="1:2" x14ac:dyDescent="0.3">
      <c r="A1640" s="101">
        <v>43490</v>
      </c>
      <c r="B1640" s="102">
        <v>10780.55</v>
      </c>
    </row>
    <row r="1641" spans="1:2" x14ac:dyDescent="0.3">
      <c r="A1641" s="101">
        <v>43489</v>
      </c>
      <c r="B1641" s="102">
        <v>10849.8</v>
      </c>
    </row>
    <row r="1642" spans="1:2" x14ac:dyDescent="0.3">
      <c r="A1642" s="101">
        <v>43488</v>
      </c>
      <c r="B1642" s="102">
        <v>10831.5</v>
      </c>
    </row>
    <row r="1643" spans="1:2" x14ac:dyDescent="0.3">
      <c r="A1643" s="101">
        <v>43487</v>
      </c>
      <c r="B1643" s="102">
        <v>10922.75</v>
      </c>
    </row>
    <row r="1644" spans="1:2" x14ac:dyDescent="0.3">
      <c r="A1644" s="101">
        <v>43486</v>
      </c>
      <c r="B1644" s="102">
        <v>10961.85</v>
      </c>
    </row>
    <row r="1645" spans="1:2" x14ac:dyDescent="0.3">
      <c r="A1645" s="101">
        <v>43483</v>
      </c>
      <c r="B1645" s="102">
        <v>10906.95</v>
      </c>
    </row>
    <row r="1646" spans="1:2" x14ac:dyDescent="0.3">
      <c r="A1646" s="101">
        <v>43482</v>
      </c>
      <c r="B1646" s="102">
        <v>10905.2</v>
      </c>
    </row>
    <row r="1647" spans="1:2" x14ac:dyDescent="0.3">
      <c r="A1647" s="101">
        <v>43481</v>
      </c>
      <c r="B1647" s="102">
        <v>10890.3</v>
      </c>
    </row>
    <row r="1648" spans="1:2" x14ac:dyDescent="0.3">
      <c r="A1648" s="101">
        <v>43480</v>
      </c>
      <c r="B1648" s="102">
        <v>10886.8</v>
      </c>
    </row>
    <row r="1649" spans="1:2" x14ac:dyDescent="0.3">
      <c r="A1649" s="101">
        <v>43479</v>
      </c>
      <c r="B1649" s="102">
        <v>10737.6</v>
      </c>
    </row>
    <row r="1650" spans="1:2" x14ac:dyDescent="0.3">
      <c r="A1650" s="101">
        <v>43476</v>
      </c>
      <c r="B1650" s="102">
        <v>10794.95</v>
      </c>
    </row>
    <row r="1651" spans="1:2" x14ac:dyDescent="0.3">
      <c r="A1651" s="101">
        <v>43475</v>
      </c>
      <c r="B1651" s="102">
        <v>10821.6</v>
      </c>
    </row>
    <row r="1652" spans="1:2" x14ac:dyDescent="0.3">
      <c r="A1652" s="101">
        <v>43474</v>
      </c>
      <c r="B1652" s="102">
        <v>10855.15</v>
      </c>
    </row>
    <row r="1653" spans="1:2" x14ac:dyDescent="0.3">
      <c r="A1653" s="101">
        <v>43473</v>
      </c>
      <c r="B1653" s="102">
        <v>10802.15</v>
      </c>
    </row>
    <row r="1654" spans="1:2" x14ac:dyDescent="0.3">
      <c r="A1654" s="101">
        <v>43472</v>
      </c>
      <c r="B1654" s="102">
        <v>10771.8</v>
      </c>
    </row>
    <row r="1655" spans="1:2" x14ac:dyDescent="0.3">
      <c r="A1655" s="101">
        <v>43469</v>
      </c>
      <c r="B1655" s="102">
        <v>10727.35</v>
      </c>
    </row>
    <row r="1656" spans="1:2" x14ac:dyDescent="0.3">
      <c r="A1656" s="101">
        <v>43468</v>
      </c>
      <c r="B1656" s="102">
        <v>10672.25</v>
      </c>
    </row>
    <row r="1657" spans="1:2" x14ac:dyDescent="0.3">
      <c r="A1657" s="101">
        <v>43467</v>
      </c>
      <c r="B1657" s="102">
        <v>10792.5</v>
      </c>
    </row>
    <row r="1658" spans="1:2" x14ac:dyDescent="0.3">
      <c r="A1658" s="101">
        <v>43466</v>
      </c>
      <c r="B1658" s="102">
        <v>10910.1</v>
      </c>
    </row>
    <row r="1659" spans="1:2" x14ac:dyDescent="0.3">
      <c r="A1659" s="101">
        <v>43465</v>
      </c>
      <c r="B1659" s="102">
        <v>10862.55</v>
      </c>
    </row>
    <row r="1660" spans="1:2" x14ac:dyDescent="0.3">
      <c r="A1660" s="101">
        <v>43462</v>
      </c>
      <c r="B1660" s="102">
        <v>10859.9</v>
      </c>
    </row>
    <row r="1661" spans="1:2" x14ac:dyDescent="0.3">
      <c r="A1661" s="101">
        <v>43461</v>
      </c>
      <c r="B1661" s="102">
        <v>10779.8</v>
      </c>
    </row>
    <row r="1662" spans="1:2" x14ac:dyDescent="0.3">
      <c r="A1662" s="101">
        <v>43460</v>
      </c>
      <c r="B1662" s="102">
        <v>10729.85</v>
      </c>
    </row>
    <row r="1663" spans="1:2" x14ac:dyDescent="0.3">
      <c r="A1663" s="101">
        <v>43458</v>
      </c>
      <c r="B1663" s="102">
        <v>10663.5</v>
      </c>
    </row>
    <row r="1664" spans="1:2" x14ac:dyDescent="0.3">
      <c r="A1664" s="101">
        <v>43455</v>
      </c>
      <c r="B1664" s="102">
        <v>10754</v>
      </c>
    </row>
    <row r="1665" spans="1:2" x14ac:dyDescent="0.3">
      <c r="A1665" s="101">
        <v>43454</v>
      </c>
      <c r="B1665" s="102">
        <v>10951.7</v>
      </c>
    </row>
    <row r="1666" spans="1:2" x14ac:dyDescent="0.3">
      <c r="A1666" s="101">
        <v>43453</v>
      </c>
      <c r="B1666" s="102">
        <v>10967.3</v>
      </c>
    </row>
    <row r="1667" spans="1:2" x14ac:dyDescent="0.3">
      <c r="A1667" s="101">
        <v>43452</v>
      </c>
      <c r="B1667" s="102">
        <v>10908.7</v>
      </c>
    </row>
    <row r="1668" spans="1:2" x14ac:dyDescent="0.3">
      <c r="A1668" s="101">
        <v>43451</v>
      </c>
      <c r="B1668" s="102">
        <v>10888.35</v>
      </c>
    </row>
    <row r="1669" spans="1:2" x14ac:dyDescent="0.3">
      <c r="A1669" s="101">
        <v>43448</v>
      </c>
      <c r="B1669" s="102">
        <v>10805.45</v>
      </c>
    </row>
    <row r="1670" spans="1:2" x14ac:dyDescent="0.3">
      <c r="A1670" s="101">
        <v>43447</v>
      </c>
      <c r="B1670" s="102">
        <v>10791.55</v>
      </c>
    </row>
    <row r="1671" spans="1:2" x14ac:dyDescent="0.3">
      <c r="A1671" s="101">
        <v>43446</v>
      </c>
      <c r="B1671" s="102">
        <v>10737.6</v>
      </c>
    </row>
    <row r="1672" spans="1:2" x14ac:dyDescent="0.3">
      <c r="A1672" s="101">
        <v>43445</v>
      </c>
      <c r="B1672" s="102">
        <v>10549.15</v>
      </c>
    </row>
    <row r="1673" spans="1:2" x14ac:dyDescent="0.3">
      <c r="A1673" s="101">
        <v>43444</v>
      </c>
      <c r="B1673" s="102">
        <v>10488.45</v>
      </c>
    </row>
    <row r="1674" spans="1:2" x14ac:dyDescent="0.3">
      <c r="A1674" s="101">
        <v>43441</v>
      </c>
      <c r="B1674" s="102">
        <v>10693.7</v>
      </c>
    </row>
    <row r="1675" spans="1:2" x14ac:dyDescent="0.3">
      <c r="A1675" s="101">
        <v>43440</v>
      </c>
      <c r="B1675" s="102">
        <v>10601.15</v>
      </c>
    </row>
    <row r="1676" spans="1:2" x14ac:dyDescent="0.3">
      <c r="A1676" s="101">
        <v>43439</v>
      </c>
      <c r="B1676" s="102">
        <v>10782.9</v>
      </c>
    </row>
    <row r="1677" spans="1:2" x14ac:dyDescent="0.3">
      <c r="A1677" s="101">
        <v>43438</v>
      </c>
      <c r="B1677" s="102">
        <v>10869.5</v>
      </c>
    </row>
    <row r="1678" spans="1:2" x14ac:dyDescent="0.3">
      <c r="A1678" s="101">
        <v>43437</v>
      </c>
      <c r="B1678" s="102">
        <v>10883.75</v>
      </c>
    </row>
    <row r="1679" spans="1:2" x14ac:dyDescent="0.3">
      <c r="A1679" s="101">
        <v>43434</v>
      </c>
      <c r="B1679" s="102">
        <v>10876.75</v>
      </c>
    </row>
    <row r="1680" spans="1:2" x14ac:dyDescent="0.3">
      <c r="A1680" s="101">
        <v>43433</v>
      </c>
      <c r="B1680" s="102">
        <v>10858.7</v>
      </c>
    </row>
    <row r="1681" spans="1:2" x14ac:dyDescent="0.3">
      <c r="A1681" s="101">
        <v>43432</v>
      </c>
      <c r="B1681" s="102">
        <v>10728.85</v>
      </c>
    </row>
    <row r="1682" spans="1:2" x14ac:dyDescent="0.3">
      <c r="A1682" s="101">
        <v>43431</v>
      </c>
      <c r="B1682" s="102">
        <v>10685.6</v>
      </c>
    </row>
    <row r="1683" spans="1:2" x14ac:dyDescent="0.3">
      <c r="A1683" s="101">
        <v>43430</v>
      </c>
      <c r="B1683" s="102">
        <v>10628.6</v>
      </c>
    </row>
    <row r="1684" spans="1:2" x14ac:dyDescent="0.3">
      <c r="A1684" s="101">
        <v>43426</v>
      </c>
      <c r="B1684" s="102">
        <v>10526.75</v>
      </c>
    </row>
    <row r="1685" spans="1:2" x14ac:dyDescent="0.3">
      <c r="A1685" s="101">
        <v>43425</v>
      </c>
      <c r="B1685" s="102">
        <v>10600.05</v>
      </c>
    </row>
    <row r="1686" spans="1:2" x14ac:dyDescent="0.3">
      <c r="A1686" s="101">
        <v>43424</v>
      </c>
      <c r="B1686" s="102">
        <v>10656.2</v>
      </c>
    </row>
    <row r="1687" spans="1:2" x14ac:dyDescent="0.3">
      <c r="A1687" s="101">
        <v>43423</v>
      </c>
      <c r="B1687" s="102">
        <v>10763.4</v>
      </c>
    </row>
    <row r="1688" spans="1:2" x14ac:dyDescent="0.3">
      <c r="A1688" s="101">
        <v>43420</v>
      </c>
      <c r="B1688" s="102">
        <v>10682.2</v>
      </c>
    </row>
    <row r="1689" spans="1:2" x14ac:dyDescent="0.3">
      <c r="A1689" s="101">
        <v>43419</v>
      </c>
      <c r="B1689" s="102">
        <v>10616.7</v>
      </c>
    </row>
    <row r="1690" spans="1:2" x14ac:dyDescent="0.3">
      <c r="A1690" s="101">
        <v>43418</v>
      </c>
      <c r="B1690" s="102">
        <v>10576.3</v>
      </c>
    </row>
    <row r="1691" spans="1:2" x14ac:dyDescent="0.3">
      <c r="A1691" s="101">
        <v>43417</v>
      </c>
      <c r="B1691" s="102">
        <v>10582.5</v>
      </c>
    </row>
    <row r="1692" spans="1:2" x14ac:dyDescent="0.3">
      <c r="A1692" s="101">
        <v>43416</v>
      </c>
      <c r="B1692" s="102">
        <v>10482.200000000001</v>
      </c>
    </row>
    <row r="1693" spans="1:2" x14ac:dyDescent="0.3">
      <c r="A1693" s="101">
        <v>43413</v>
      </c>
      <c r="B1693" s="102">
        <v>10585.2</v>
      </c>
    </row>
    <row r="1694" spans="1:2" x14ac:dyDescent="0.3">
      <c r="A1694" s="101">
        <v>43411</v>
      </c>
      <c r="B1694" s="102">
        <v>10598.85</v>
      </c>
    </row>
    <row r="1695" spans="1:2" x14ac:dyDescent="0.3">
      <c r="A1695" s="101">
        <v>43410</v>
      </c>
      <c r="B1695" s="102">
        <v>10530</v>
      </c>
    </row>
    <row r="1696" spans="1:2" x14ac:dyDescent="0.3">
      <c r="A1696" s="101">
        <v>43409</v>
      </c>
      <c r="B1696" s="102">
        <v>10524</v>
      </c>
    </row>
    <row r="1697" spans="1:2" x14ac:dyDescent="0.3">
      <c r="A1697" s="101">
        <v>43406</v>
      </c>
      <c r="B1697" s="102">
        <v>10553</v>
      </c>
    </row>
    <row r="1698" spans="1:2" x14ac:dyDescent="0.3">
      <c r="A1698" s="101">
        <v>43405</v>
      </c>
      <c r="B1698" s="102">
        <v>10380.450000000001</v>
      </c>
    </row>
    <row r="1699" spans="1:2" x14ac:dyDescent="0.3">
      <c r="A1699" s="101">
        <v>43404</v>
      </c>
      <c r="B1699" s="102">
        <v>10386.6</v>
      </c>
    </row>
    <row r="1700" spans="1:2" x14ac:dyDescent="0.3">
      <c r="A1700" s="101">
        <v>43403</v>
      </c>
      <c r="B1700" s="102">
        <v>10198.4</v>
      </c>
    </row>
    <row r="1701" spans="1:2" x14ac:dyDescent="0.3">
      <c r="A1701" s="101">
        <v>43402</v>
      </c>
      <c r="B1701" s="102">
        <v>10250.85</v>
      </c>
    </row>
    <row r="1702" spans="1:2" x14ac:dyDescent="0.3">
      <c r="A1702" s="101">
        <v>43399</v>
      </c>
      <c r="B1702" s="102">
        <v>10030</v>
      </c>
    </row>
    <row r="1703" spans="1:2" x14ac:dyDescent="0.3">
      <c r="A1703" s="101">
        <v>43398</v>
      </c>
      <c r="B1703" s="102">
        <v>10124.9</v>
      </c>
    </row>
    <row r="1704" spans="1:2" x14ac:dyDescent="0.3">
      <c r="A1704" s="101">
        <v>43397</v>
      </c>
      <c r="B1704" s="102">
        <v>10224.75</v>
      </c>
    </row>
    <row r="1705" spans="1:2" x14ac:dyDescent="0.3">
      <c r="A1705" s="101">
        <v>43396</v>
      </c>
      <c r="B1705" s="102">
        <v>10146.799999999999</v>
      </c>
    </row>
    <row r="1706" spans="1:2" x14ac:dyDescent="0.3">
      <c r="A1706" s="101">
        <v>43395</v>
      </c>
      <c r="B1706" s="102">
        <v>10245.25</v>
      </c>
    </row>
    <row r="1707" spans="1:2" x14ac:dyDescent="0.3">
      <c r="A1707" s="101">
        <v>43392</v>
      </c>
      <c r="B1707" s="102">
        <v>10303.549999999999</v>
      </c>
    </row>
    <row r="1708" spans="1:2" x14ac:dyDescent="0.3">
      <c r="A1708" s="101">
        <v>43390</v>
      </c>
      <c r="B1708" s="102">
        <v>10453.049999999999</v>
      </c>
    </row>
    <row r="1709" spans="1:2" x14ac:dyDescent="0.3">
      <c r="A1709" s="101">
        <v>43389</v>
      </c>
      <c r="B1709" s="102">
        <v>10584.75</v>
      </c>
    </row>
    <row r="1710" spans="1:2" x14ac:dyDescent="0.3">
      <c r="A1710" s="101">
        <v>43388</v>
      </c>
      <c r="B1710" s="102">
        <v>10512.5</v>
      </c>
    </row>
    <row r="1711" spans="1:2" x14ac:dyDescent="0.3">
      <c r="A1711" s="101">
        <v>43385</v>
      </c>
      <c r="B1711" s="102">
        <v>10472.5</v>
      </c>
    </row>
    <row r="1712" spans="1:2" x14ac:dyDescent="0.3">
      <c r="A1712" s="101">
        <v>43384</v>
      </c>
      <c r="B1712" s="102">
        <v>10234.65</v>
      </c>
    </row>
    <row r="1713" spans="1:2" x14ac:dyDescent="0.3">
      <c r="A1713" s="101">
        <v>43383</v>
      </c>
      <c r="B1713" s="102">
        <v>10460.1</v>
      </c>
    </row>
    <row r="1714" spans="1:2" x14ac:dyDescent="0.3">
      <c r="A1714" s="101">
        <v>43382</v>
      </c>
      <c r="B1714" s="102">
        <v>10301.049999999999</v>
      </c>
    </row>
    <row r="1715" spans="1:2" x14ac:dyDescent="0.3">
      <c r="A1715" s="101">
        <v>43381</v>
      </c>
      <c r="B1715" s="102">
        <v>10348.049999999999</v>
      </c>
    </row>
    <row r="1716" spans="1:2" x14ac:dyDescent="0.3">
      <c r="A1716" s="101">
        <v>43378</v>
      </c>
      <c r="B1716" s="102">
        <v>10316.450000000001</v>
      </c>
    </row>
    <row r="1717" spans="1:2" x14ac:dyDescent="0.3">
      <c r="A1717" s="101">
        <v>43377</v>
      </c>
      <c r="B1717" s="102">
        <v>10599.25</v>
      </c>
    </row>
    <row r="1718" spans="1:2" x14ac:dyDescent="0.3">
      <c r="A1718" s="101">
        <v>43376</v>
      </c>
      <c r="B1718" s="102">
        <v>10858.25</v>
      </c>
    </row>
    <row r="1719" spans="1:2" x14ac:dyDescent="0.3">
      <c r="A1719" s="101">
        <v>43374</v>
      </c>
      <c r="B1719" s="102">
        <v>11008.3</v>
      </c>
    </row>
    <row r="1720" spans="1:2" x14ac:dyDescent="0.3">
      <c r="A1720" s="101">
        <v>43371</v>
      </c>
      <c r="B1720" s="102">
        <v>10930.45</v>
      </c>
    </row>
    <row r="1721" spans="1:2" x14ac:dyDescent="0.3">
      <c r="A1721" s="101">
        <v>43370</v>
      </c>
      <c r="B1721" s="102">
        <v>10977.55</v>
      </c>
    </row>
    <row r="1722" spans="1:2" x14ac:dyDescent="0.3">
      <c r="A1722" s="101">
        <v>43369</v>
      </c>
      <c r="B1722" s="102">
        <v>11053.8</v>
      </c>
    </row>
    <row r="1723" spans="1:2" x14ac:dyDescent="0.3">
      <c r="A1723" s="101">
        <v>43368</v>
      </c>
      <c r="B1723" s="102">
        <v>11067.45</v>
      </c>
    </row>
    <row r="1724" spans="1:2" x14ac:dyDescent="0.3">
      <c r="A1724" s="101">
        <v>43367</v>
      </c>
      <c r="B1724" s="102">
        <v>10967.4</v>
      </c>
    </row>
    <row r="1725" spans="1:2" x14ac:dyDescent="0.3">
      <c r="A1725" s="101">
        <v>43364</v>
      </c>
      <c r="B1725" s="102">
        <v>11143.1</v>
      </c>
    </row>
    <row r="1726" spans="1:2" x14ac:dyDescent="0.3">
      <c r="A1726" s="101">
        <v>43362</v>
      </c>
      <c r="B1726" s="102">
        <v>11234.35</v>
      </c>
    </row>
    <row r="1727" spans="1:2" x14ac:dyDescent="0.3">
      <c r="A1727" s="101">
        <v>43361</v>
      </c>
      <c r="B1727" s="102">
        <v>11278.9</v>
      </c>
    </row>
    <row r="1728" spans="1:2" x14ac:dyDescent="0.3">
      <c r="A1728" s="101">
        <v>43360</v>
      </c>
      <c r="B1728" s="102">
        <v>11377.75</v>
      </c>
    </row>
    <row r="1729" spans="1:2" x14ac:dyDescent="0.3">
      <c r="A1729" s="101">
        <v>43357</v>
      </c>
      <c r="B1729" s="102">
        <v>11515.2</v>
      </c>
    </row>
    <row r="1730" spans="1:2" x14ac:dyDescent="0.3">
      <c r="A1730" s="101">
        <v>43355</v>
      </c>
      <c r="B1730" s="102">
        <v>11369.9</v>
      </c>
    </row>
    <row r="1731" spans="1:2" x14ac:dyDescent="0.3">
      <c r="A1731" s="101">
        <v>43354</v>
      </c>
      <c r="B1731" s="102">
        <v>11287.5</v>
      </c>
    </row>
    <row r="1732" spans="1:2" x14ac:dyDescent="0.3">
      <c r="A1732" s="101">
        <v>43353</v>
      </c>
      <c r="B1732" s="102">
        <v>11438.1</v>
      </c>
    </row>
    <row r="1733" spans="1:2" x14ac:dyDescent="0.3">
      <c r="A1733" s="101">
        <v>43350</v>
      </c>
      <c r="B1733" s="102">
        <v>11589.1</v>
      </c>
    </row>
    <row r="1734" spans="1:2" x14ac:dyDescent="0.3">
      <c r="A1734" s="101">
        <v>43349</v>
      </c>
      <c r="B1734" s="102">
        <v>11536.9</v>
      </c>
    </row>
    <row r="1735" spans="1:2" x14ac:dyDescent="0.3">
      <c r="A1735" s="101">
        <v>43348</v>
      </c>
      <c r="B1735" s="102">
        <v>11476.95</v>
      </c>
    </row>
    <row r="1736" spans="1:2" x14ac:dyDescent="0.3">
      <c r="A1736" s="101">
        <v>43347</v>
      </c>
      <c r="B1736" s="102">
        <v>11520.3</v>
      </c>
    </row>
    <row r="1737" spans="1:2" x14ac:dyDescent="0.3">
      <c r="A1737" s="101">
        <v>43346</v>
      </c>
      <c r="B1737" s="102">
        <v>11582.35</v>
      </c>
    </row>
    <row r="1738" spans="1:2" x14ac:dyDescent="0.3">
      <c r="A1738" s="101">
        <v>43343</v>
      </c>
      <c r="B1738" s="102">
        <v>11680.5</v>
      </c>
    </row>
    <row r="1739" spans="1:2" x14ac:dyDescent="0.3">
      <c r="A1739" s="101">
        <v>43342</v>
      </c>
      <c r="B1739" s="102">
        <v>11676.8</v>
      </c>
    </row>
    <row r="1740" spans="1:2" x14ac:dyDescent="0.3">
      <c r="A1740" s="101">
        <v>43341</v>
      </c>
      <c r="B1740" s="102">
        <v>11691.9</v>
      </c>
    </row>
    <row r="1741" spans="1:2" x14ac:dyDescent="0.3">
      <c r="A1741" s="101">
        <v>43340</v>
      </c>
      <c r="B1741" s="102">
        <v>11738.5</v>
      </c>
    </row>
    <row r="1742" spans="1:2" x14ac:dyDescent="0.3">
      <c r="A1742" s="101">
        <v>43339</v>
      </c>
      <c r="B1742" s="102">
        <v>11691.95</v>
      </c>
    </row>
    <row r="1743" spans="1:2" x14ac:dyDescent="0.3">
      <c r="A1743" s="101">
        <v>43336</v>
      </c>
      <c r="B1743" s="102">
        <v>11557.1</v>
      </c>
    </row>
    <row r="1744" spans="1:2" x14ac:dyDescent="0.3">
      <c r="A1744" s="101">
        <v>43335</v>
      </c>
      <c r="B1744" s="102">
        <v>11582.75</v>
      </c>
    </row>
    <row r="1745" spans="1:2" x14ac:dyDescent="0.3">
      <c r="A1745" s="101">
        <v>43333</v>
      </c>
      <c r="B1745" s="102">
        <v>11570.9</v>
      </c>
    </row>
    <row r="1746" spans="1:2" x14ac:dyDescent="0.3">
      <c r="A1746" s="101">
        <v>43332</v>
      </c>
      <c r="B1746" s="102">
        <v>11551.75</v>
      </c>
    </row>
    <row r="1747" spans="1:2" x14ac:dyDescent="0.3">
      <c r="A1747" s="101">
        <v>43329</v>
      </c>
      <c r="B1747" s="102">
        <v>11470.75</v>
      </c>
    </row>
    <row r="1748" spans="1:2" x14ac:dyDescent="0.3">
      <c r="A1748" s="101">
        <v>43328</v>
      </c>
      <c r="B1748" s="102">
        <v>11385.05</v>
      </c>
    </row>
    <row r="1749" spans="1:2" x14ac:dyDescent="0.3">
      <c r="A1749" s="101">
        <v>43326</v>
      </c>
      <c r="B1749" s="102">
        <v>11435.1</v>
      </c>
    </row>
    <row r="1750" spans="1:2" x14ac:dyDescent="0.3">
      <c r="A1750" s="101">
        <v>43325</v>
      </c>
      <c r="B1750" s="102">
        <v>11355.75</v>
      </c>
    </row>
    <row r="1751" spans="1:2" x14ac:dyDescent="0.3">
      <c r="A1751" s="101">
        <v>43322</v>
      </c>
      <c r="B1751" s="102">
        <v>11429.5</v>
      </c>
    </row>
    <row r="1752" spans="1:2" x14ac:dyDescent="0.3">
      <c r="A1752" s="101">
        <v>43321</v>
      </c>
      <c r="B1752" s="102">
        <v>11470.7</v>
      </c>
    </row>
    <row r="1753" spans="1:2" x14ac:dyDescent="0.3">
      <c r="A1753" s="101">
        <v>43320</v>
      </c>
      <c r="B1753" s="102">
        <v>11450</v>
      </c>
    </row>
    <row r="1754" spans="1:2" x14ac:dyDescent="0.3">
      <c r="A1754" s="101">
        <v>43319</v>
      </c>
      <c r="B1754" s="102">
        <v>11389.45</v>
      </c>
    </row>
    <row r="1755" spans="1:2" x14ac:dyDescent="0.3">
      <c r="A1755" s="101">
        <v>43318</v>
      </c>
      <c r="B1755" s="102">
        <v>11387.1</v>
      </c>
    </row>
    <row r="1756" spans="1:2" x14ac:dyDescent="0.3">
      <c r="A1756" s="101">
        <v>43315</v>
      </c>
      <c r="B1756" s="102">
        <v>11360.8</v>
      </c>
    </row>
    <row r="1757" spans="1:2" x14ac:dyDescent="0.3">
      <c r="A1757" s="101">
        <v>43314</v>
      </c>
      <c r="B1757" s="102">
        <v>11244.7</v>
      </c>
    </row>
    <row r="1758" spans="1:2" x14ac:dyDescent="0.3">
      <c r="A1758" s="101">
        <v>43313</v>
      </c>
      <c r="B1758" s="102">
        <v>11346.2</v>
      </c>
    </row>
    <row r="1759" spans="1:2" x14ac:dyDescent="0.3">
      <c r="A1759" s="101">
        <v>43312</v>
      </c>
      <c r="B1759" s="102">
        <v>11356.5</v>
      </c>
    </row>
    <row r="1760" spans="1:2" x14ac:dyDescent="0.3">
      <c r="A1760" s="101">
        <v>43311</v>
      </c>
      <c r="B1760" s="102">
        <v>11319.55</v>
      </c>
    </row>
    <row r="1761" spans="1:2" x14ac:dyDescent="0.3">
      <c r="A1761" s="101">
        <v>43308</v>
      </c>
      <c r="B1761" s="102">
        <v>11278.35</v>
      </c>
    </row>
    <row r="1762" spans="1:2" x14ac:dyDescent="0.3">
      <c r="A1762" s="101">
        <v>43307</v>
      </c>
      <c r="B1762" s="102">
        <v>11167.3</v>
      </c>
    </row>
    <row r="1763" spans="1:2" x14ac:dyDescent="0.3">
      <c r="A1763" s="101">
        <v>43306</v>
      </c>
      <c r="B1763" s="102">
        <v>11132</v>
      </c>
    </row>
    <row r="1764" spans="1:2" x14ac:dyDescent="0.3">
      <c r="A1764" s="101">
        <v>43305</v>
      </c>
      <c r="B1764" s="102">
        <v>11134.3</v>
      </c>
    </row>
    <row r="1765" spans="1:2" x14ac:dyDescent="0.3">
      <c r="A1765" s="101">
        <v>43304</v>
      </c>
      <c r="B1765" s="102">
        <v>11084.75</v>
      </c>
    </row>
    <row r="1766" spans="1:2" x14ac:dyDescent="0.3">
      <c r="A1766" s="101">
        <v>43301</v>
      </c>
      <c r="B1766" s="102">
        <v>11010.2</v>
      </c>
    </row>
    <row r="1767" spans="1:2" x14ac:dyDescent="0.3">
      <c r="A1767" s="101">
        <v>43300</v>
      </c>
      <c r="B1767" s="102">
        <v>10957.1</v>
      </c>
    </row>
    <row r="1768" spans="1:2" x14ac:dyDescent="0.3">
      <c r="A1768" s="101">
        <v>43299</v>
      </c>
      <c r="B1768" s="102">
        <v>10980.45</v>
      </c>
    </row>
    <row r="1769" spans="1:2" x14ac:dyDescent="0.3">
      <c r="A1769" s="101">
        <v>43298</v>
      </c>
      <c r="B1769" s="102">
        <v>11008.05</v>
      </c>
    </row>
    <row r="1770" spans="1:2" x14ac:dyDescent="0.3">
      <c r="A1770" s="101">
        <v>43297</v>
      </c>
      <c r="B1770" s="102">
        <v>10936.85</v>
      </c>
    </row>
    <row r="1771" spans="1:2" x14ac:dyDescent="0.3">
      <c r="A1771" s="101">
        <v>43294</v>
      </c>
      <c r="B1771" s="102">
        <v>11018.9</v>
      </c>
    </row>
    <row r="1772" spans="1:2" x14ac:dyDescent="0.3">
      <c r="A1772" s="101">
        <v>43293</v>
      </c>
      <c r="B1772" s="102">
        <v>11023.2</v>
      </c>
    </row>
    <row r="1773" spans="1:2" x14ac:dyDescent="0.3">
      <c r="A1773" s="101">
        <v>43292</v>
      </c>
      <c r="B1773" s="102">
        <v>10948.3</v>
      </c>
    </row>
    <row r="1774" spans="1:2" x14ac:dyDescent="0.3">
      <c r="A1774" s="101">
        <v>43291</v>
      </c>
      <c r="B1774" s="102">
        <v>10947.25</v>
      </c>
    </row>
    <row r="1775" spans="1:2" x14ac:dyDescent="0.3">
      <c r="A1775" s="101">
        <v>43290</v>
      </c>
      <c r="B1775" s="102">
        <v>10852.9</v>
      </c>
    </row>
    <row r="1776" spans="1:2" x14ac:dyDescent="0.3">
      <c r="A1776" s="101">
        <v>43287</v>
      </c>
      <c r="B1776" s="102">
        <v>10772.65</v>
      </c>
    </row>
    <row r="1777" spans="1:2" x14ac:dyDescent="0.3">
      <c r="A1777" s="101">
        <v>43286</v>
      </c>
      <c r="B1777" s="102">
        <v>10749.75</v>
      </c>
    </row>
    <row r="1778" spans="1:2" x14ac:dyDescent="0.3">
      <c r="A1778" s="101">
        <v>43285</v>
      </c>
      <c r="B1778" s="102">
        <v>10769.9</v>
      </c>
    </row>
    <row r="1779" spans="1:2" x14ac:dyDescent="0.3">
      <c r="A1779" s="101">
        <v>43284</v>
      </c>
      <c r="B1779" s="102">
        <v>10699.9</v>
      </c>
    </row>
    <row r="1780" spans="1:2" x14ac:dyDescent="0.3">
      <c r="A1780" s="101">
        <v>43283</v>
      </c>
      <c r="B1780" s="102">
        <v>10657.3</v>
      </c>
    </row>
    <row r="1781" spans="1:2" x14ac:dyDescent="0.3">
      <c r="A1781" s="101">
        <v>43280</v>
      </c>
      <c r="B1781" s="102">
        <v>10714.3</v>
      </c>
    </row>
    <row r="1782" spans="1:2" x14ac:dyDescent="0.3">
      <c r="A1782" s="101">
        <v>43279</v>
      </c>
      <c r="B1782" s="102">
        <v>10589.1</v>
      </c>
    </row>
    <row r="1783" spans="1:2" x14ac:dyDescent="0.3">
      <c r="A1783" s="101">
        <v>43278</v>
      </c>
      <c r="B1783" s="102">
        <v>10671.4</v>
      </c>
    </row>
    <row r="1784" spans="1:2" x14ac:dyDescent="0.3">
      <c r="A1784" s="101">
        <v>43277</v>
      </c>
      <c r="B1784" s="102">
        <v>10769.15</v>
      </c>
    </row>
    <row r="1785" spans="1:2" x14ac:dyDescent="0.3">
      <c r="A1785" s="101">
        <v>43276</v>
      </c>
      <c r="B1785" s="102">
        <v>10762.45</v>
      </c>
    </row>
    <row r="1786" spans="1:2" x14ac:dyDescent="0.3">
      <c r="A1786" s="101">
        <v>43273</v>
      </c>
      <c r="B1786" s="102">
        <v>10821.85</v>
      </c>
    </row>
    <row r="1787" spans="1:2" x14ac:dyDescent="0.3">
      <c r="A1787" s="101">
        <v>43272</v>
      </c>
      <c r="B1787" s="102">
        <v>10741.1</v>
      </c>
    </row>
    <row r="1788" spans="1:2" x14ac:dyDescent="0.3">
      <c r="A1788" s="101">
        <v>43271</v>
      </c>
      <c r="B1788" s="102">
        <v>10772.05</v>
      </c>
    </row>
    <row r="1789" spans="1:2" x14ac:dyDescent="0.3">
      <c r="A1789" s="101">
        <v>43270</v>
      </c>
      <c r="B1789" s="102">
        <v>10710.45</v>
      </c>
    </row>
    <row r="1790" spans="1:2" x14ac:dyDescent="0.3">
      <c r="A1790" s="101">
        <v>43269</v>
      </c>
      <c r="B1790" s="102">
        <v>10799.85</v>
      </c>
    </row>
    <row r="1791" spans="1:2" x14ac:dyDescent="0.3">
      <c r="A1791" s="101">
        <v>43266</v>
      </c>
      <c r="B1791" s="102">
        <v>10817.7</v>
      </c>
    </row>
    <row r="1792" spans="1:2" x14ac:dyDescent="0.3">
      <c r="A1792" s="101">
        <v>43265</v>
      </c>
      <c r="B1792" s="102">
        <v>10808.05</v>
      </c>
    </row>
    <row r="1793" spans="1:2" x14ac:dyDescent="0.3">
      <c r="A1793" s="101">
        <v>43264</v>
      </c>
      <c r="B1793" s="102">
        <v>10856.7</v>
      </c>
    </row>
    <row r="1794" spans="1:2" x14ac:dyDescent="0.3">
      <c r="A1794" s="101">
        <v>43263</v>
      </c>
      <c r="B1794" s="102">
        <v>10842.85</v>
      </c>
    </row>
    <row r="1795" spans="1:2" x14ac:dyDescent="0.3">
      <c r="A1795" s="101">
        <v>43262</v>
      </c>
      <c r="B1795" s="102">
        <v>10786.95</v>
      </c>
    </row>
    <row r="1796" spans="1:2" x14ac:dyDescent="0.3">
      <c r="A1796" s="101">
        <v>43259</v>
      </c>
      <c r="B1796" s="102">
        <v>10767.65</v>
      </c>
    </row>
    <row r="1797" spans="1:2" x14ac:dyDescent="0.3">
      <c r="A1797" s="101">
        <v>43258</v>
      </c>
      <c r="B1797" s="102">
        <v>10768.35</v>
      </c>
    </row>
    <row r="1798" spans="1:2" x14ac:dyDescent="0.3">
      <c r="A1798" s="101">
        <v>43257</v>
      </c>
      <c r="B1798" s="102">
        <v>10684.65</v>
      </c>
    </row>
    <row r="1799" spans="1:2" x14ac:dyDescent="0.3">
      <c r="A1799" s="101">
        <v>43256</v>
      </c>
      <c r="B1799" s="102">
        <v>10593.15</v>
      </c>
    </row>
    <row r="1800" spans="1:2" x14ac:dyDescent="0.3">
      <c r="A1800" s="101">
        <v>43255</v>
      </c>
      <c r="B1800" s="102">
        <v>10628.5</v>
      </c>
    </row>
    <row r="1801" spans="1:2" x14ac:dyDescent="0.3">
      <c r="A1801" s="101">
        <v>43252</v>
      </c>
      <c r="B1801" s="102">
        <v>10696.2</v>
      </c>
    </row>
    <row r="1802" spans="1:2" x14ac:dyDescent="0.3">
      <c r="A1802" s="101">
        <v>43251</v>
      </c>
      <c r="B1802" s="102">
        <v>10736.15</v>
      </c>
    </row>
    <row r="1803" spans="1:2" x14ac:dyDescent="0.3">
      <c r="A1803" s="101">
        <v>43250</v>
      </c>
      <c r="B1803" s="102">
        <v>10614.35</v>
      </c>
    </row>
    <row r="1804" spans="1:2" x14ac:dyDescent="0.3">
      <c r="A1804" s="101">
        <v>43249</v>
      </c>
      <c r="B1804" s="102">
        <v>10633.3</v>
      </c>
    </row>
    <row r="1805" spans="1:2" x14ac:dyDescent="0.3">
      <c r="A1805" s="101">
        <v>43248</v>
      </c>
      <c r="B1805" s="102">
        <v>10688.65</v>
      </c>
    </row>
    <row r="1806" spans="1:2" x14ac:dyDescent="0.3">
      <c r="A1806" s="101">
        <v>43245</v>
      </c>
      <c r="B1806" s="102">
        <v>10605.15</v>
      </c>
    </row>
    <row r="1807" spans="1:2" x14ac:dyDescent="0.3">
      <c r="A1807" s="101">
        <v>43244</v>
      </c>
      <c r="B1807" s="102">
        <v>10513.85</v>
      </c>
    </row>
    <row r="1808" spans="1:2" x14ac:dyDescent="0.3">
      <c r="A1808" s="101">
        <v>43243</v>
      </c>
      <c r="B1808" s="102">
        <v>10430.35</v>
      </c>
    </row>
    <row r="1809" spans="1:2" x14ac:dyDescent="0.3">
      <c r="A1809" s="101">
        <v>43242</v>
      </c>
      <c r="B1809" s="102">
        <v>10536.7</v>
      </c>
    </row>
    <row r="1810" spans="1:2" x14ac:dyDescent="0.3">
      <c r="A1810" s="101">
        <v>43241</v>
      </c>
      <c r="B1810" s="102">
        <v>10516.7</v>
      </c>
    </row>
    <row r="1811" spans="1:2" x14ac:dyDescent="0.3">
      <c r="A1811" s="101">
        <v>43238</v>
      </c>
      <c r="B1811" s="102">
        <v>10596.4</v>
      </c>
    </row>
    <row r="1812" spans="1:2" x14ac:dyDescent="0.3">
      <c r="A1812" s="101">
        <v>43237</v>
      </c>
      <c r="B1812" s="102">
        <v>10682.7</v>
      </c>
    </row>
    <row r="1813" spans="1:2" x14ac:dyDescent="0.3">
      <c r="A1813" s="101">
        <v>43236</v>
      </c>
      <c r="B1813" s="102">
        <v>10741.1</v>
      </c>
    </row>
    <row r="1814" spans="1:2" x14ac:dyDescent="0.3">
      <c r="A1814" s="101">
        <v>43235</v>
      </c>
      <c r="B1814" s="102">
        <v>10801.85</v>
      </c>
    </row>
    <row r="1815" spans="1:2" x14ac:dyDescent="0.3">
      <c r="A1815" s="101">
        <v>43234</v>
      </c>
      <c r="B1815" s="102">
        <v>10806.6</v>
      </c>
    </row>
    <row r="1816" spans="1:2" x14ac:dyDescent="0.3">
      <c r="A1816" s="101">
        <v>43231</v>
      </c>
      <c r="B1816" s="102">
        <v>10806.5</v>
      </c>
    </row>
    <row r="1817" spans="1:2" x14ac:dyDescent="0.3">
      <c r="A1817" s="101">
        <v>43230</v>
      </c>
      <c r="B1817" s="102">
        <v>10716.55</v>
      </c>
    </row>
    <row r="1818" spans="1:2" x14ac:dyDescent="0.3">
      <c r="A1818" s="101">
        <v>43229</v>
      </c>
      <c r="B1818" s="102">
        <v>10741.7</v>
      </c>
    </row>
    <row r="1819" spans="1:2" x14ac:dyDescent="0.3">
      <c r="A1819" s="101">
        <v>43228</v>
      </c>
      <c r="B1819" s="102">
        <v>10717.8</v>
      </c>
    </row>
    <row r="1820" spans="1:2" x14ac:dyDescent="0.3">
      <c r="A1820" s="101">
        <v>43227</v>
      </c>
      <c r="B1820" s="102">
        <v>10715.5</v>
      </c>
    </row>
    <row r="1821" spans="1:2" x14ac:dyDescent="0.3">
      <c r="A1821" s="101">
        <v>43224</v>
      </c>
      <c r="B1821" s="102">
        <v>10618.25</v>
      </c>
    </row>
    <row r="1822" spans="1:2" x14ac:dyDescent="0.3">
      <c r="A1822" s="101">
        <v>43223</v>
      </c>
      <c r="B1822" s="102">
        <v>10679.65</v>
      </c>
    </row>
    <row r="1823" spans="1:2" x14ac:dyDescent="0.3">
      <c r="A1823" s="101">
        <v>43222</v>
      </c>
      <c r="B1823" s="102">
        <v>10718.05</v>
      </c>
    </row>
    <row r="1824" spans="1:2" x14ac:dyDescent="0.3">
      <c r="A1824" s="101">
        <v>43220</v>
      </c>
      <c r="B1824" s="102">
        <v>10739.35</v>
      </c>
    </row>
    <row r="1825" spans="1:2" x14ac:dyDescent="0.3">
      <c r="A1825" s="101">
        <v>43217</v>
      </c>
      <c r="B1825" s="102">
        <v>10692.3</v>
      </c>
    </row>
    <row r="1826" spans="1:2" x14ac:dyDescent="0.3">
      <c r="A1826" s="101">
        <v>43216</v>
      </c>
      <c r="B1826" s="102">
        <v>10617.8</v>
      </c>
    </row>
    <row r="1827" spans="1:2" x14ac:dyDescent="0.3">
      <c r="A1827" s="101">
        <v>43215</v>
      </c>
      <c r="B1827" s="102">
        <v>10570.55</v>
      </c>
    </row>
    <row r="1828" spans="1:2" x14ac:dyDescent="0.3">
      <c r="A1828" s="101">
        <v>43214</v>
      </c>
      <c r="B1828" s="102">
        <v>10614.35</v>
      </c>
    </row>
    <row r="1829" spans="1:2" x14ac:dyDescent="0.3">
      <c r="A1829" s="101">
        <v>43213</v>
      </c>
      <c r="B1829" s="102">
        <v>10584.7</v>
      </c>
    </row>
    <row r="1830" spans="1:2" x14ac:dyDescent="0.3">
      <c r="A1830" s="101">
        <v>43210</v>
      </c>
      <c r="B1830" s="102">
        <v>10564.05</v>
      </c>
    </row>
    <row r="1831" spans="1:2" x14ac:dyDescent="0.3">
      <c r="A1831" s="101">
        <v>43209</v>
      </c>
      <c r="B1831" s="102">
        <v>10565.3</v>
      </c>
    </row>
    <row r="1832" spans="1:2" x14ac:dyDescent="0.3">
      <c r="A1832" s="101">
        <v>43208</v>
      </c>
      <c r="B1832" s="102">
        <v>10526.2</v>
      </c>
    </row>
    <row r="1833" spans="1:2" x14ac:dyDescent="0.3">
      <c r="A1833" s="101">
        <v>43207</v>
      </c>
      <c r="B1833" s="102">
        <v>10548.7</v>
      </c>
    </row>
    <row r="1834" spans="1:2" x14ac:dyDescent="0.3">
      <c r="A1834" s="101">
        <v>43206</v>
      </c>
      <c r="B1834" s="102">
        <v>10528.35</v>
      </c>
    </row>
    <row r="1835" spans="1:2" x14ac:dyDescent="0.3">
      <c r="A1835" s="101">
        <v>43203</v>
      </c>
      <c r="B1835" s="102">
        <v>10480.6</v>
      </c>
    </row>
    <row r="1836" spans="1:2" x14ac:dyDescent="0.3">
      <c r="A1836" s="101">
        <v>43202</v>
      </c>
      <c r="B1836" s="102">
        <v>10458.65</v>
      </c>
    </row>
    <row r="1837" spans="1:2" x14ac:dyDescent="0.3">
      <c r="A1837" s="101">
        <v>43201</v>
      </c>
      <c r="B1837" s="102">
        <v>10417.15</v>
      </c>
    </row>
    <row r="1838" spans="1:2" x14ac:dyDescent="0.3">
      <c r="A1838" s="101">
        <v>43200</v>
      </c>
      <c r="B1838" s="102">
        <v>10402.25</v>
      </c>
    </row>
    <row r="1839" spans="1:2" x14ac:dyDescent="0.3">
      <c r="A1839" s="101">
        <v>43199</v>
      </c>
      <c r="B1839" s="102">
        <v>10379.35</v>
      </c>
    </row>
    <row r="1840" spans="1:2" x14ac:dyDescent="0.3">
      <c r="A1840" s="101">
        <v>43196</v>
      </c>
      <c r="B1840" s="102">
        <v>10331.6</v>
      </c>
    </row>
    <row r="1841" spans="1:2" x14ac:dyDescent="0.3">
      <c r="A1841" s="101">
        <v>43195</v>
      </c>
      <c r="B1841" s="102">
        <v>10325.15</v>
      </c>
    </row>
    <row r="1842" spans="1:2" x14ac:dyDescent="0.3">
      <c r="A1842" s="101">
        <v>43194</v>
      </c>
      <c r="B1842" s="102">
        <v>10128.4</v>
      </c>
    </row>
    <row r="1843" spans="1:2" x14ac:dyDescent="0.3">
      <c r="A1843" s="101">
        <v>43193</v>
      </c>
      <c r="B1843" s="102">
        <v>10245</v>
      </c>
    </row>
    <row r="1844" spans="1:2" x14ac:dyDescent="0.3">
      <c r="A1844" s="101">
        <v>43192</v>
      </c>
      <c r="B1844" s="102">
        <v>10211.799999999999</v>
      </c>
    </row>
    <row r="1845" spans="1:2" x14ac:dyDescent="0.3">
      <c r="A1845" s="101">
        <v>43187</v>
      </c>
      <c r="B1845" s="102">
        <v>10113.700000000001</v>
      </c>
    </row>
    <row r="1846" spans="1:2" x14ac:dyDescent="0.3">
      <c r="A1846" s="101">
        <v>43186</v>
      </c>
      <c r="B1846" s="102">
        <v>10184.15</v>
      </c>
    </row>
    <row r="1847" spans="1:2" x14ac:dyDescent="0.3">
      <c r="A1847" s="101">
        <v>43185</v>
      </c>
      <c r="B1847" s="102">
        <v>10130.65</v>
      </c>
    </row>
    <row r="1848" spans="1:2" x14ac:dyDescent="0.3">
      <c r="A1848" s="101">
        <v>43182</v>
      </c>
      <c r="B1848" s="102">
        <v>9998.0499999999993</v>
      </c>
    </row>
    <row r="1849" spans="1:2" x14ac:dyDescent="0.3">
      <c r="A1849" s="101">
        <v>43181</v>
      </c>
      <c r="B1849" s="102">
        <v>10114.75</v>
      </c>
    </row>
    <row r="1850" spans="1:2" x14ac:dyDescent="0.3">
      <c r="A1850" s="101">
        <v>43180</v>
      </c>
      <c r="B1850" s="102">
        <v>10155.25</v>
      </c>
    </row>
    <row r="1851" spans="1:2" x14ac:dyDescent="0.3">
      <c r="A1851" s="101">
        <v>43179</v>
      </c>
      <c r="B1851" s="102">
        <v>10124.35</v>
      </c>
    </row>
    <row r="1852" spans="1:2" x14ac:dyDescent="0.3">
      <c r="A1852" s="101">
        <v>43178</v>
      </c>
      <c r="B1852" s="102">
        <v>10094.25</v>
      </c>
    </row>
    <row r="1853" spans="1:2" x14ac:dyDescent="0.3">
      <c r="A1853" s="101">
        <v>43175</v>
      </c>
      <c r="B1853" s="102">
        <v>10195.15</v>
      </c>
    </row>
    <row r="1854" spans="1:2" x14ac:dyDescent="0.3">
      <c r="A1854" s="101">
        <v>43174</v>
      </c>
      <c r="B1854" s="102">
        <v>10360.15</v>
      </c>
    </row>
    <row r="1855" spans="1:2" x14ac:dyDescent="0.3">
      <c r="A1855" s="101">
        <v>43173</v>
      </c>
      <c r="B1855" s="102">
        <v>10410.9</v>
      </c>
    </row>
    <row r="1856" spans="1:2" x14ac:dyDescent="0.3">
      <c r="A1856" s="101">
        <v>43172</v>
      </c>
      <c r="B1856" s="102">
        <v>10426.85</v>
      </c>
    </row>
    <row r="1857" spans="1:2" x14ac:dyDescent="0.3">
      <c r="A1857" s="101">
        <v>43171</v>
      </c>
      <c r="B1857" s="102">
        <v>10421.4</v>
      </c>
    </row>
    <row r="1858" spans="1:2" x14ac:dyDescent="0.3">
      <c r="A1858" s="101">
        <v>43168</v>
      </c>
      <c r="B1858" s="102">
        <v>10226.85</v>
      </c>
    </row>
    <row r="1859" spans="1:2" x14ac:dyDescent="0.3">
      <c r="A1859" s="101">
        <v>43167</v>
      </c>
      <c r="B1859" s="102">
        <v>10242.65</v>
      </c>
    </row>
    <row r="1860" spans="1:2" x14ac:dyDescent="0.3">
      <c r="A1860" s="101">
        <v>43166</v>
      </c>
      <c r="B1860" s="102">
        <v>10154.200000000001</v>
      </c>
    </row>
    <row r="1861" spans="1:2" x14ac:dyDescent="0.3">
      <c r="A1861" s="101">
        <v>43165</v>
      </c>
      <c r="B1861" s="102">
        <v>10249.25</v>
      </c>
    </row>
    <row r="1862" spans="1:2" x14ac:dyDescent="0.3">
      <c r="A1862" s="101">
        <v>43164</v>
      </c>
      <c r="B1862" s="102">
        <v>10358.85</v>
      </c>
    </row>
    <row r="1863" spans="1:2" x14ac:dyDescent="0.3">
      <c r="A1863" s="101">
        <v>43160</v>
      </c>
      <c r="B1863" s="102">
        <v>10458.35</v>
      </c>
    </row>
    <row r="1864" spans="1:2" x14ac:dyDescent="0.3">
      <c r="A1864" s="101">
        <v>43159</v>
      </c>
      <c r="B1864" s="102">
        <v>10492.85</v>
      </c>
    </row>
    <row r="1865" spans="1:2" x14ac:dyDescent="0.3">
      <c r="A1865" s="101">
        <v>43158</v>
      </c>
      <c r="B1865" s="102">
        <v>10554.3</v>
      </c>
    </row>
    <row r="1866" spans="1:2" x14ac:dyDescent="0.3">
      <c r="A1866" s="101">
        <v>43157</v>
      </c>
      <c r="B1866" s="102">
        <v>10582.6</v>
      </c>
    </row>
    <row r="1867" spans="1:2" x14ac:dyDescent="0.3">
      <c r="A1867" s="101">
        <v>43154</v>
      </c>
      <c r="B1867" s="102">
        <v>10491.05</v>
      </c>
    </row>
    <row r="1868" spans="1:2" x14ac:dyDescent="0.3">
      <c r="A1868" s="101">
        <v>43153</v>
      </c>
      <c r="B1868" s="102">
        <v>10382.700000000001</v>
      </c>
    </row>
    <row r="1869" spans="1:2" x14ac:dyDescent="0.3">
      <c r="A1869" s="101">
        <v>43152</v>
      </c>
      <c r="B1869" s="102">
        <v>10397.450000000001</v>
      </c>
    </row>
    <row r="1870" spans="1:2" x14ac:dyDescent="0.3">
      <c r="A1870" s="101">
        <v>43151</v>
      </c>
      <c r="B1870" s="102">
        <v>10360.4</v>
      </c>
    </row>
    <row r="1871" spans="1:2" x14ac:dyDescent="0.3">
      <c r="A1871" s="101">
        <v>43150</v>
      </c>
      <c r="B1871" s="102">
        <v>10378.4</v>
      </c>
    </row>
    <row r="1872" spans="1:2" x14ac:dyDescent="0.3">
      <c r="A1872" s="101">
        <v>43147</v>
      </c>
      <c r="B1872" s="102">
        <v>10452.299999999999</v>
      </c>
    </row>
    <row r="1873" spans="1:2" x14ac:dyDescent="0.3">
      <c r="A1873" s="101">
        <v>43146</v>
      </c>
      <c r="B1873" s="102">
        <v>10545.5</v>
      </c>
    </row>
    <row r="1874" spans="1:2" x14ac:dyDescent="0.3">
      <c r="A1874" s="101">
        <v>43145</v>
      </c>
      <c r="B1874" s="102">
        <v>10500.9</v>
      </c>
    </row>
    <row r="1875" spans="1:2" x14ac:dyDescent="0.3">
      <c r="A1875" s="101">
        <v>43143</v>
      </c>
      <c r="B1875" s="102">
        <v>10539.75</v>
      </c>
    </row>
    <row r="1876" spans="1:2" x14ac:dyDescent="0.3">
      <c r="A1876" s="101">
        <v>43140</v>
      </c>
      <c r="B1876" s="102">
        <v>10454.950000000001</v>
      </c>
    </row>
    <row r="1877" spans="1:2" x14ac:dyDescent="0.3">
      <c r="A1877" s="101">
        <v>43139</v>
      </c>
      <c r="B1877" s="102">
        <v>10576.85</v>
      </c>
    </row>
    <row r="1878" spans="1:2" x14ac:dyDescent="0.3">
      <c r="A1878" s="101">
        <v>43138</v>
      </c>
      <c r="B1878" s="102">
        <v>10476.700000000001</v>
      </c>
    </row>
    <row r="1879" spans="1:2" x14ac:dyDescent="0.3">
      <c r="A1879" s="101">
        <v>43137</v>
      </c>
      <c r="B1879" s="102">
        <v>10498.25</v>
      </c>
    </row>
    <row r="1880" spans="1:2" x14ac:dyDescent="0.3">
      <c r="A1880" s="101">
        <v>43136</v>
      </c>
      <c r="B1880" s="102">
        <v>10666.55</v>
      </c>
    </row>
    <row r="1881" spans="1:2" x14ac:dyDescent="0.3">
      <c r="A1881" s="101">
        <v>43133</v>
      </c>
      <c r="B1881" s="102">
        <v>10760.6</v>
      </c>
    </row>
    <row r="1882" spans="1:2" x14ac:dyDescent="0.3">
      <c r="A1882" s="101">
        <v>43132</v>
      </c>
      <c r="B1882" s="102">
        <v>11016.9</v>
      </c>
    </row>
    <row r="1883" spans="1:2" x14ac:dyDescent="0.3">
      <c r="A1883" s="101">
        <v>43131</v>
      </c>
      <c r="B1883" s="102">
        <v>11027.7</v>
      </c>
    </row>
    <row r="1884" spans="1:2" x14ac:dyDescent="0.3">
      <c r="A1884" s="101">
        <v>43130</v>
      </c>
      <c r="B1884" s="102">
        <v>11049.65</v>
      </c>
    </row>
    <row r="1885" spans="1:2" x14ac:dyDescent="0.3">
      <c r="A1885" s="101">
        <v>43129</v>
      </c>
      <c r="B1885" s="102">
        <v>11130.4</v>
      </c>
    </row>
    <row r="1886" spans="1:2" x14ac:dyDescent="0.3">
      <c r="A1886" s="101">
        <v>43125</v>
      </c>
      <c r="B1886" s="102">
        <v>11069.65</v>
      </c>
    </row>
    <row r="1887" spans="1:2" x14ac:dyDescent="0.3">
      <c r="A1887" s="101">
        <v>43124</v>
      </c>
      <c r="B1887" s="102">
        <v>11086</v>
      </c>
    </row>
    <row r="1888" spans="1:2" x14ac:dyDescent="0.3">
      <c r="A1888" s="101">
        <v>43123</v>
      </c>
      <c r="B1888" s="102">
        <v>11083.7</v>
      </c>
    </row>
    <row r="1889" spans="1:2" x14ac:dyDescent="0.3">
      <c r="A1889" s="101">
        <v>43122</v>
      </c>
      <c r="B1889" s="102">
        <v>10966.2</v>
      </c>
    </row>
    <row r="1890" spans="1:2" x14ac:dyDescent="0.3">
      <c r="A1890" s="101">
        <v>43119</v>
      </c>
      <c r="B1890" s="102">
        <v>10894.7</v>
      </c>
    </row>
    <row r="1891" spans="1:2" x14ac:dyDescent="0.3">
      <c r="A1891" s="101">
        <v>43118</v>
      </c>
      <c r="B1891" s="102">
        <v>10817</v>
      </c>
    </row>
    <row r="1892" spans="1:2" x14ac:dyDescent="0.3">
      <c r="A1892" s="101">
        <v>43117</v>
      </c>
      <c r="B1892" s="102">
        <v>10788.55</v>
      </c>
    </row>
    <row r="1893" spans="1:2" x14ac:dyDescent="0.3">
      <c r="A1893" s="101">
        <v>43116</v>
      </c>
      <c r="B1893" s="102">
        <v>10700.45</v>
      </c>
    </row>
    <row r="1894" spans="1:2" x14ac:dyDescent="0.3">
      <c r="A1894" s="101">
        <v>43115</v>
      </c>
      <c r="B1894" s="102">
        <v>10741.55</v>
      </c>
    </row>
    <row r="1895" spans="1:2" x14ac:dyDescent="0.3">
      <c r="A1895" s="101">
        <v>43112</v>
      </c>
      <c r="B1895" s="102">
        <v>10681.25</v>
      </c>
    </row>
    <row r="1896" spans="1:2" x14ac:dyDescent="0.3">
      <c r="A1896" s="101">
        <v>43111</v>
      </c>
      <c r="B1896" s="102">
        <v>10651.2</v>
      </c>
    </row>
    <row r="1897" spans="1:2" x14ac:dyDescent="0.3">
      <c r="A1897" s="101">
        <v>43110</v>
      </c>
      <c r="B1897" s="102">
        <v>10632.2</v>
      </c>
    </row>
    <row r="1898" spans="1:2" x14ac:dyDescent="0.3">
      <c r="A1898" s="101">
        <v>43109</v>
      </c>
      <c r="B1898" s="102">
        <v>10637</v>
      </c>
    </row>
    <row r="1899" spans="1:2" x14ac:dyDescent="0.3">
      <c r="A1899" s="101">
        <v>43108</v>
      </c>
      <c r="B1899" s="102">
        <v>10623.6</v>
      </c>
    </row>
    <row r="1900" spans="1:2" x14ac:dyDescent="0.3">
      <c r="A1900" s="101">
        <v>43105</v>
      </c>
      <c r="B1900" s="102">
        <v>10558.85</v>
      </c>
    </row>
    <row r="1901" spans="1:2" x14ac:dyDescent="0.3">
      <c r="A1901" s="101">
        <v>43104</v>
      </c>
      <c r="B1901" s="102">
        <v>10504.8</v>
      </c>
    </row>
    <row r="1902" spans="1:2" x14ac:dyDescent="0.3">
      <c r="A1902" s="101">
        <v>43103</v>
      </c>
      <c r="B1902" s="102">
        <v>10443.200000000001</v>
      </c>
    </row>
    <row r="1903" spans="1:2" x14ac:dyDescent="0.3">
      <c r="A1903" s="101">
        <v>43102</v>
      </c>
      <c r="B1903" s="102">
        <v>10442.200000000001</v>
      </c>
    </row>
    <row r="1904" spans="1:2" x14ac:dyDescent="0.3">
      <c r="A1904" s="101">
        <v>43101</v>
      </c>
      <c r="B1904" s="102">
        <v>10435.549999999999</v>
      </c>
    </row>
    <row r="1905" spans="1:2" x14ac:dyDescent="0.3">
      <c r="A1905" s="101">
        <v>43098</v>
      </c>
      <c r="B1905" s="102">
        <v>10530.7</v>
      </c>
    </row>
    <row r="1906" spans="1:2" x14ac:dyDescent="0.3">
      <c r="A1906" s="101">
        <v>43097</v>
      </c>
      <c r="B1906" s="102">
        <v>10477.9</v>
      </c>
    </row>
    <row r="1907" spans="1:2" x14ac:dyDescent="0.3">
      <c r="A1907" s="101">
        <v>43096</v>
      </c>
      <c r="B1907" s="102">
        <v>10490.75</v>
      </c>
    </row>
    <row r="1908" spans="1:2" x14ac:dyDescent="0.3">
      <c r="A1908" s="101">
        <v>43095</v>
      </c>
      <c r="B1908" s="102">
        <v>10531.5</v>
      </c>
    </row>
    <row r="1909" spans="1:2" x14ac:dyDescent="0.3">
      <c r="A1909" s="101">
        <v>43091</v>
      </c>
      <c r="B1909" s="102">
        <v>10493</v>
      </c>
    </row>
    <row r="1910" spans="1:2" x14ac:dyDescent="0.3">
      <c r="A1910" s="101">
        <v>43090</v>
      </c>
      <c r="B1910" s="102">
        <v>10440.299999999999</v>
      </c>
    </row>
    <row r="1911" spans="1:2" x14ac:dyDescent="0.3">
      <c r="A1911" s="101">
        <v>43089</v>
      </c>
      <c r="B1911" s="102">
        <v>10444.200000000001</v>
      </c>
    </row>
    <row r="1912" spans="1:2" x14ac:dyDescent="0.3">
      <c r="A1912" s="101">
        <v>43088</v>
      </c>
      <c r="B1912" s="102">
        <v>10463.200000000001</v>
      </c>
    </row>
    <row r="1913" spans="1:2" x14ac:dyDescent="0.3">
      <c r="A1913" s="101">
        <v>43087</v>
      </c>
      <c r="B1913" s="102">
        <v>10388.75</v>
      </c>
    </row>
    <row r="1914" spans="1:2" x14ac:dyDescent="0.3">
      <c r="A1914" s="101">
        <v>43084</v>
      </c>
      <c r="B1914" s="102">
        <v>10333.25</v>
      </c>
    </row>
    <row r="1915" spans="1:2" x14ac:dyDescent="0.3">
      <c r="A1915" s="101">
        <v>43083</v>
      </c>
      <c r="B1915" s="102">
        <v>10252.1</v>
      </c>
    </row>
    <row r="1916" spans="1:2" x14ac:dyDescent="0.3">
      <c r="A1916" s="101">
        <v>43082</v>
      </c>
      <c r="B1916" s="102">
        <v>10192.950000000001</v>
      </c>
    </row>
    <row r="1917" spans="1:2" x14ac:dyDescent="0.3">
      <c r="A1917" s="101">
        <v>43081</v>
      </c>
      <c r="B1917" s="102">
        <v>10240.15</v>
      </c>
    </row>
    <row r="1918" spans="1:2" x14ac:dyDescent="0.3">
      <c r="A1918" s="101">
        <v>43080</v>
      </c>
      <c r="B1918" s="102">
        <v>10322.25</v>
      </c>
    </row>
    <row r="1919" spans="1:2" x14ac:dyDescent="0.3">
      <c r="A1919" s="101">
        <v>43077</v>
      </c>
      <c r="B1919" s="102">
        <v>10265.65</v>
      </c>
    </row>
    <row r="1920" spans="1:2" x14ac:dyDescent="0.3">
      <c r="A1920" s="101">
        <v>43076</v>
      </c>
      <c r="B1920" s="102">
        <v>10166.700000000001</v>
      </c>
    </row>
    <row r="1921" spans="1:2" x14ac:dyDescent="0.3">
      <c r="A1921" s="101">
        <v>43075</v>
      </c>
      <c r="B1921" s="102">
        <v>10044.1</v>
      </c>
    </row>
    <row r="1922" spans="1:2" x14ac:dyDescent="0.3">
      <c r="A1922" s="101">
        <v>43074</v>
      </c>
      <c r="B1922" s="102">
        <v>10118.25</v>
      </c>
    </row>
    <row r="1923" spans="1:2" x14ac:dyDescent="0.3">
      <c r="A1923" s="101">
        <v>43073</v>
      </c>
      <c r="B1923" s="102">
        <v>10127.75</v>
      </c>
    </row>
    <row r="1924" spans="1:2" x14ac:dyDescent="0.3">
      <c r="A1924" s="101">
        <v>43070</v>
      </c>
      <c r="B1924" s="102">
        <v>10121.799999999999</v>
      </c>
    </row>
    <row r="1925" spans="1:2" x14ac:dyDescent="0.3">
      <c r="A1925" s="101">
        <v>43069</v>
      </c>
      <c r="B1925" s="102">
        <v>10226.549999999999</v>
      </c>
    </row>
    <row r="1926" spans="1:2" x14ac:dyDescent="0.3">
      <c r="A1926" s="101">
        <v>43068</v>
      </c>
      <c r="B1926" s="102">
        <v>10361.299999999999</v>
      </c>
    </row>
    <row r="1927" spans="1:2" x14ac:dyDescent="0.3">
      <c r="A1927" s="101">
        <v>43067</v>
      </c>
      <c r="B1927" s="102">
        <v>10370.25</v>
      </c>
    </row>
    <row r="1928" spans="1:2" x14ac:dyDescent="0.3">
      <c r="A1928" s="101">
        <v>43066</v>
      </c>
      <c r="B1928" s="102">
        <v>10399.549999999999</v>
      </c>
    </row>
    <row r="1929" spans="1:2" x14ac:dyDescent="0.3">
      <c r="A1929" s="101">
        <v>43063</v>
      </c>
      <c r="B1929" s="102">
        <v>10389.700000000001</v>
      </c>
    </row>
    <row r="1930" spans="1:2" x14ac:dyDescent="0.3">
      <c r="A1930" s="101">
        <v>43062</v>
      </c>
      <c r="B1930" s="102">
        <v>10348.75</v>
      </c>
    </row>
    <row r="1931" spans="1:2" x14ac:dyDescent="0.3">
      <c r="A1931" s="101">
        <v>43061</v>
      </c>
      <c r="B1931" s="102">
        <v>10342.299999999999</v>
      </c>
    </row>
    <row r="1932" spans="1:2" x14ac:dyDescent="0.3">
      <c r="A1932" s="101">
        <v>43060</v>
      </c>
      <c r="B1932" s="102">
        <v>10326.9</v>
      </c>
    </row>
    <row r="1933" spans="1:2" x14ac:dyDescent="0.3">
      <c r="A1933" s="101">
        <v>43059</v>
      </c>
      <c r="B1933" s="102">
        <v>10298.75</v>
      </c>
    </row>
    <row r="1934" spans="1:2" x14ac:dyDescent="0.3">
      <c r="A1934" s="101">
        <v>43056</v>
      </c>
      <c r="B1934" s="102">
        <v>10283.6</v>
      </c>
    </row>
    <row r="1935" spans="1:2" x14ac:dyDescent="0.3">
      <c r="A1935" s="101">
        <v>43055</v>
      </c>
      <c r="B1935" s="102">
        <v>10214.75</v>
      </c>
    </row>
    <row r="1936" spans="1:2" x14ac:dyDescent="0.3">
      <c r="A1936" s="101">
        <v>43054</v>
      </c>
      <c r="B1936" s="102">
        <v>10118.049999999999</v>
      </c>
    </row>
    <row r="1937" spans="1:2" x14ac:dyDescent="0.3">
      <c r="A1937" s="101">
        <v>43053</v>
      </c>
      <c r="B1937" s="102">
        <v>10186.6</v>
      </c>
    </row>
    <row r="1938" spans="1:2" x14ac:dyDescent="0.3">
      <c r="A1938" s="101">
        <v>43052</v>
      </c>
      <c r="B1938" s="102">
        <v>10224.950000000001</v>
      </c>
    </row>
    <row r="1939" spans="1:2" x14ac:dyDescent="0.3">
      <c r="A1939" s="101">
        <v>43049</v>
      </c>
      <c r="B1939" s="102">
        <v>10321.75</v>
      </c>
    </row>
    <row r="1940" spans="1:2" x14ac:dyDescent="0.3">
      <c r="A1940" s="101">
        <v>43048</v>
      </c>
      <c r="B1940" s="102">
        <v>10308.950000000001</v>
      </c>
    </row>
    <row r="1941" spans="1:2" x14ac:dyDescent="0.3">
      <c r="A1941" s="101">
        <v>43047</v>
      </c>
      <c r="B1941" s="102">
        <v>10303.15</v>
      </c>
    </row>
    <row r="1942" spans="1:2" x14ac:dyDescent="0.3">
      <c r="A1942" s="101">
        <v>43046</v>
      </c>
      <c r="B1942" s="102">
        <v>10350.15</v>
      </c>
    </row>
    <row r="1943" spans="1:2" x14ac:dyDescent="0.3">
      <c r="A1943" s="101">
        <v>43045</v>
      </c>
      <c r="B1943" s="102">
        <v>10451.799999999999</v>
      </c>
    </row>
    <row r="1944" spans="1:2" x14ac:dyDescent="0.3">
      <c r="A1944" s="101">
        <v>43042</v>
      </c>
      <c r="B1944" s="102">
        <v>10452.5</v>
      </c>
    </row>
    <row r="1945" spans="1:2" x14ac:dyDescent="0.3">
      <c r="A1945" s="101">
        <v>43041</v>
      </c>
      <c r="B1945" s="102">
        <v>10423.799999999999</v>
      </c>
    </row>
    <row r="1946" spans="1:2" x14ac:dyDescent="0.3">
      <c r="A1946" s="101">
        <v>43040</v>
      </c>
      <c r="B1946" s="102">
        <v>10440.5</v>
      </c>
    </row>
    <row r="1947" spans="1:2" x14ac:dyDescent="0.3">
      <c r="A1947" s="101">
        <v>43039</v>
      </c>
      <c r="B1947" s="102">
        <v>10335.299999999999</v>
      </c>
    </row>
    <row r="1948" spans="1:2" x14ac:dyDescent="0.3">
      <c r="A1948" s="101">
        <v>43038</v>
      </c>
      <c r="B1948" s="102">
        <v>10363.65</v>
      </c>
    </row>
    <row r="1949" spans="1:2" x14ac:dyDescent="0.3">
      <c r="A1949" s="101">
        <v>43035</v>
      </c>
      <c r="B1949" s="102">
        <v>10323.049999999999</v>
      </c>
    </row>
    <row r="1950" spans="1:2" x14ac:dyDescent="0.3">
      <c r="A1950" s="101">
        <v>43034</v>
      </c>
      <c r="B1950" s="102">
        <v>10343.799999999999</v>
      </c>
    </row>
    <row r="1951" spans="1:2" x14ac:dyDescent="0.3">
      <c r="A1951" s="101">
        <v>43033</v>
      </c>
      <c r="B1951" s="102">
        <v>10295.35</v>
      </c>
    </row>
    <row r="1952" spans="1:2" x14ac:dyDescent="0.3">
      <c r="A1952" s="101">
        <v>43032</v>
      </c>
      <c r="B1952" s="102">
        <v>10207.700000000001</v>
      </c>
    </row>
    <row r="1953" spans="1:2" x14ac:dyDescent="0.3">
      <c r="A1953" s="101">
        <v>43031</v>
      </c>
      <c r="B1953" s="102">
        <v>10184.85</v>
      </c>
    </row>
    <row r="1954" spans="1:2" x14ac:dyDescent="0.3">
      <c r="A1954" s="101">
        <v>43027</v>
      </c>
      <c r="B1954" s="102">
        <v>10146.549999999999</v>
      </c>
    </row>
    <row r="1955" spans="1:2" x14ac:dyDescent="0.3">
      <c r="A1955" s="101">
        <v>43026</v>
      </c>
      <c r="B1955" s="102">
        <v>10210.85</v>
      </c>
    </row>
    <row r="1956" spans="1:2" x14ac:dyDescent="0.3">
      <c r="A1956" s="101">
        <v>43025</v>
      </c>
      <c r="B1956" s="102">
        <v>10234.450000000001</v>
      </c>
    </row>
    <row r="1957" spans="1:2" x14ac:dyDescent="0.3">
      <c r="A1957" s="101">
        <v>43024</v>
      </c>
      <c r="B1957" s="102">
        <v>10230.85</v>
      </c>
    </row>
    <row r="1958" spans="1:2" x14ac:dyDescent="0.3">
      <c r="A1958" s="101">
        <v>43021</v>
      </c>
      <c r="B1958" s="102">
        <v>10167.450000000001</v>
      </c>
    </row>
    <row r="1959" spans="1:2" x14ac:dyDescent="0.3">
      <c r="A1959" s="101">
        <v>43020</v>
      </c>
      <c r="B1959" s="102">
        <v>10096.4</v>
      </c>
    </row>
    <row r="1960" spans="1:2" x14ac:dyDescent="0.3">
      <c r="A1960" s="101">
        <v>43019</v>
      </c>
      <c r="B1960" s="102">
        <v>9984.7999999999993</v>
      </c>
    </row>
    <row r="1961" spans="1:2" x14ac:dyDescent="0.3">
      <c r="A1961" s="101">
        <v>43018</v>
      </c>
      <c r="B1961" s="102">
        <v>10016.950000000001</v>
      </c>
    </row>
    <row r="1962" spans="1:2" x14ac:dyDescent="0.3">
      <c r="A1962" s="101">
        <v>43017</v>
      </c>
      <c r="B1962" s="102">
        <v>9988.75</v>
      </c>
    </row>
    <row r="1963" spans="1:2" x14ac:dyDescent="0.3">
      <c r="A1963" s="101">
        <v>43014</v>
      </c>
      <c r="B1963" s="102">
        <v>9979.7000000000007</v>
      </c>
    </row>
    <row r="1964" spans="1:2" x14ac:dyDescent="0.3">
      <c r="A1964" s="101">
        <v>43013</v>
      </c>
      <c r="B1964" s="102">
        <v>9888.7000000000007</v>
      </c>
    </row>
    <row r="1965" spans="1:2" x14ac:dyDescent="0.3">
      <c r="A1965" s="101">
        <v>43012</v>
      </c>
      <c r="B1965" s="102">
        <v>9914.9</v>
      </c>
    </row>
    <row r="1966" spans="1:2" x14ac:dyDescent="0.3">
      <c r="A1966" s="101">
        <v>43011</v>
      </c>
      <c r="B1966" s="102">
        <v>9859.5</v>
      </c>
    </row>
    <row r="1967" spans="1:2" x14ac:dyDescent="0.3">
      <c r="A1967" s="101">
        <v>43007</v>
      </c>
      <c r="B1967" s="102">
        <v>9788.6</v>
      </c>
    </row>
    <row r="1968" spans="1:2" x14ac:dyDescent="0.3">
      <c r="A1968" s="101">
        <v>43006</v>
      </c>
      <c r="B1968" s="102">
        <v>9768.9500000000007</v>
      </c>
    </row>
    <row r="1969" spans="1:2" x14ac:dyDescent="0.3">
      <c r="A1969" s="101">
        <v>43005</v>
      </c>
      <c r="B1969" s="102">
        <v>9735.75</v>
      </c>
    </row>
    <row r="1970" spans="1:2" x14ac:dyDescent="0.3">
      <c r="A1970" s="101">
        <v>43004</v>
      </c>
      <c r="B1970" s="102">
        <v>9871.5</v>
      </c>
    </row>
    <row r="1971" spans="1:2" x14ac:dyDescent="0.3">
      <c r="A1971" s="101">
        <v>43003</v>
      </c>
      <c r="B1971" s="102">
        <v>9872.6</v>
      </c>
    </row>
    <row r="1972" spans="1:2" x14ac:dyDescent="0.3">
      <c r="A1972" s="101">
        <v>43000</v>
      </c>
      <c r="B1972" s="102">
        <v>9964.4</v>
      </c>
    </row>
    <row r="1973" spans="1:2" x14ac:dyDescent="0.3">
      <c r="A1973" s="101">
        <v>42999</v>
      </c>
      <c r="B1973" s="102">
        <v>10121.9</v>
      </c>
    </row>
    <row r="1974" spans="1:2" x14ac:dyDescent="0.3">
      <c r="A1974" s="101">
        <v>42998</v>
      </c>
      <c r="B1974" s="102">
        <v>10141.15</v>
      </c>
    </row>
    <row r="1975" spans="1:2" x14ac:dyDescent="0.3">
      <c r="A1975" s="101">
        <v>42997</v>
      </c>
      <c r="B1975" s="102">
        <v>10147.549999999999</v>
      </c>
    </row>
    <row r="1976" spans="1:2" x14ac:dyDescent="0.3">
      <c r="A1976" s="101">
        <v>42996</v>
      </c>
      <c r="B1976" s="102">
        <v>10153.1</v>
      </c>
    </row>
    <row r="1977" spans="1:2" x14ac:dyDescent="0.3">
      <c r="A1977" s="101">
        <v>42993</v>
      </c>
      <c r="B1977" s="102">
        <v>10085.4</v>
      </c>
    </row>
    <row r="1978" spans="1:2" x14ac:dyDescent="0.3">
      <c r="A1978" s="101">
        <v>42992</v>
      </c>
      <c r="B1978" s="102">
        <v>10086.6</v>
      </c>
    </row>
    <row r="1979" spans="1:2" x14ac:dyDescent="0.3">
      <c r="A1979" s="101">
        <v>42991</v>
      </c>
      <c r="B1979" s="102">
        <v>10079.299999999999</v>
      </c>
    </row>
    <row r="1980" spans="1:2" x14ac:dyDescent="0.3">
      <c r="A1980" s="101">
        <v>42990</v>
      </c>
      <c r="B1980" s="102">
        <v>10093.049999999999</v>
      </c>
    </row>
    <row r="1981" spans="1:2" x14ac:dyDescent="0.3">
      <c r="A1981" s="101">
        <v>42989</v>
      </c>
      <c r="B1981" s="102">
        <v>10006.049999999999</v>
      </c>
    </row>
    <row r="1982" spans="1:2" x14ac:dyDescent="0.3">
      <c r="A1982" s="101">
        <v>42986</v>
      </c>
      <c r="B1982" s="102">
        <v>9934.7999999999993</v>
      </c>
    </row>
    <row r="1983" spans="1:2" x14ac:dyDescent="0.3">
      <c r="A1983" s="101">
        <v>42985</v>
      </c>
      <c r="B1983" s="102">
        <v>9929.9</v>
      </c>
    </row>
    <row r="1984" spans="1:2" x14ac:dyDescent="0.3">
      <c r="A1984" s="101">
        <v>42984</v>
      </c>
      <c r="B1984" s="102">
        <v>9916.2000000000007</v>
      </c>
    </row>
    <row r="1985" spans="1:2" x14ac:dyDescent="0.3">
      <c r="A1985" s="101">
        <v>42983</v>
      </c>
      <c r="B1985" s="102">
        <v>9952.2000000000007</v>
      </c>
    </row>
    <row r="1986" spans="1:2" x14ac:dyDescent="0.3">
      <c r="A1986" s="101">
        <v>42982</v>
      </c>
      <c r="B1986" s="102">
        <v>9912.85</v>
      </c>
    </row>
    <row r="1987" spans="1:2" x14ac:dyDescent="0.3">
      <c r="A1987" s="101">
        <v>42979</v>
      </c>
      <c r="B1987" s="102">
        <v>9974.4</v>
      </c>
    </row>
    <row r="1988" spans="1:2" x14ac:dyDescent="0.3">
      <c r="A1988" s="101">
        <v>42978</v>
      </c>
      <c r="B1988" s="102">
        <v>9917.9</v>
      </c>
    </row>
    <row r="1989" spans="1:2" x14ac:dyDescent="0.3">
      <c r="A1989" s="101">
        <v>42977</v>
      </c>
      <c r="B1989" s="102">
        <v>9884.4</v>
      </c>
    </row>
    <row r="1990" spans="1:2" x14ac:dyDescent="0.3">
      <c r="A1990" s="101">
        <v>42976</v>
      </c>
      <c r="B1990" s="102">
        <v>9796.0499999999993</v>
      </c>
    </row>
    <row r="1991" spans="1:2" x14ac:dyDescent="0.3">
      <c r="A1991" s="101">
        <v>42975</v>
      </c>
      <c r="B1991" s="102">
        <v>9912.7999999999993</v>
      </c>
    </row>
    <row r="1992" spans="1:2" x14ac:dyDescent="0.3">
      <c r="A1992" s="101">
        <v>42971</v>
      </c>
      <c r="B1992" s="102">
        <v>9857.0499999999993</v>
      </c>
    </row>
    <row r="1993" spans="1:2" x14ac:dyDescent="0.3">
      <c r="A1993" s="101">
        <v>42970</v>
      </c>
      <c r="B1993" s="102">
        <v>9852.5</v>
      </c>
    </row>
    <row r="1994" spans="1:2" x14ac:dyDescent="0.3">
      <c r="A1994" s="101">
        <v>42969</v>
      </c>
      <c r="B1994" s="102">
        <v>9765.5499999999993</v>
      </c>
    </row>
    <row r="1995" spans="1:2" x14ac:dyDescent="0.3">
      <c r="A1995" s="101">
        <v>42968</v>
      </c>
      <c r="B1995" s="102">
        <v>9754.35</v>
      </c>
    </row>
    <row r="1996" spans="1:2" x14ac:dyDescent="0.3">
      <c r="A1996" s="101">
        <v>42965</v>
      </c>
      <c r="B1996" s="102">
        <v>9837.4</v>
      </c>
    </row>
    <row r="1997" spans="1:2" x14ac:dyDescent="0.3">
      <c r="A1997" s="101">
        <v>42964</v>
      </c>
      <c r="B1997" s="102">
        <v>9904.15</v>
      </c>
    </row>
    <row r="1998" spans="1:2" x14ac:dyDescent="0.3">
      <c r="A1998" s="101">
        <v>42963</v>
      </c>
      <c r="B1998" s="102">
        <v>9897.2999999999993</v>
      </c>
    </row>
    <row r="1999" spans="1:2" x14ac:dyDescent="0.3">
      <c r="A1999" s="101">
        <v>42961</v>
      </c>
      <c r="B1999" s="102">
        <v>9794.15</v>
      </c>
    </row>
    <row r="2000" spans="1:2" x14ac:dyDescent="0.3">
      <c r="A2000" s="101">
        <v>42958</v>
      </c>
      <c r="B2000" s="102">
        <v>9710.7999999999993</v>
      </c>
    </row>
    <row r="2001" spans="1:2" x14ac:dyDescent="0.3">
      <c r="A2001" s="101">
        <v>42957</v>
      </c>
      <c r="B2001" s="102">
        <v>9820.25</v>
      </c>
    </row>
    <row r="2002" spans="1:2" x14ac:dyDescent="0.3">
      <c r="A2002" s="101">
        <v>42956</v>
      </c>
      <c r="B2002" s="102">
        <v>9908.0499999999993</v>
      </c>
    </row>
    <row r="2003" spans="1:2" x14ac:dyDescent="0.3">
      <c r="A2003" s="101">
        <v>42955</v>
      </c>
      <c r="B2003" s="102">
        <v>9978.5499999999993</v>
      </c>
    </row>
    <row r="2004" spans="1:2" x14ac:dyDescent="0.3">
      <c r="A2004" s="101">
        <v>42954</v>
      </c>
      <c r="B2004" s="102">
        <v>10057.4</v>
      </c>
    </row>
    <row r="2005" spans="1:2" x14ac:dyDescent="0.3">
      <c r="A2005" s="101">
        <v>42951</v>
      </c>
      <c r="B2005" s="102">
        <v>10066.4</v>
      </c>
    </row>
    <row r="2006" spans="1:2" x14ac:dyDescent="0.3">
      <c r="A2006" s="101">
        <v>42950</v>
      </c>
      <c r="B2006" s="102">
        <v>10013.65</v>
      </c>
    </row>
    <row r="2007" spans="1:2" x14ac:dyDescent="0.3">
      <c r="A2007" s="101">
        <v>42949</v>
      </c>
      <c r="B2007" s="102">
        <v>10081.5</v>
      </c>
    </row>
    <row r="2008" spans="1:2" x14ac:dyDescent="0.3">
      <c r="A2008" s="101">
        <v>42948</v>
      </c>
      <c r="B2008" s="102">
        <v>10114.65</v>
      </c>
    </row>
    <row r="2009" spans="1:2" x14ac:dyDescent="0.3">
      <c r="A2009" s="101">
        <v>42947</v>
      </c>
      <c r="B2009" s="102">
        <v>10077.1</v>
      </c>
    </row>
    <row r="2010" spans="1:2" x14ac:dyDescent="0.3">
      <c r="A2010" s="101">
        <v>42944</v>
      </c>
      <c r="B2010" s="102">
        <v>10014.5</v>
      </c>
    </row>
    <row r="2011" spans="1:2" x14ac:dyDescent="0.3">
      <c r="A2011" s="101">
        <v>42943</v>
      </c>
      <c r="B2011" s="102">
        <v>10020.549999999999</v>
      </c>
    </row>
    <row r="2012" spans="1:2" x14ac:dyDescent="0.3">
      <c r="A2012" s="101">
        <v>42942</v>
      </c>
      <c r="B2012" s="102">
        <v>10020.65</v>
      </c>
    </row>
    <row r="2013" spans="1:2" x14ac:dyDescent="0.3">
      <c r="A2013" s="101">
        <v>42941</v>
      </c>
      <c r="B2013" s="102">
        <v>9964.5499999999993</v>
      </c>
    </row>
    <row r="2014" spans="1:2" x14ac:dyDescent="0.3">
      <c r="A2014" s="101">
        <v>42940</v>
      </c>
      <c r="B2014" s="102">
        <v>9966.4</v>
      </c>
    </row>
    <row r="2015" spans="1:2" x14ac:dyDescent="0.3">
      <c r="A2015" s="101">
        <v>42937</v>
      </c>
      <c r="B2015" s="102">
        <v>9915.25</v>
      </c>
    </row>
    <row r="2016" spans="1:2" x14ac:dyDescent="0.3">
      <c r="A2016" s="101">
        <v>42936</v>
      </c>
      <c r="B2016" s="102">
        <v>9873.2999999999993</v>
      </c>
    </row>
    <row r="2017" spans="1:2" x14ac:dyDescent="0.3">
      <c r="A2017" s="101">
        <v>42935</v>
      </c>
      <c r="B2017" s="102">
        <v>9899.6</v>
      </c>
    </row>
    <row r="2018" spans="1:2" x14ac:dyDescent="0.3">
      <c r="A2018" s="101">
        <v>42934</v>
      </c>
      <c r="B2018" s="102">
        <v>9827.15</v>
      </c>
    </row>
    <row r="2019" spans="1:2" x14ac:dyDescent="0.3">
      <c r="A2019" s="101">
        <v>42933</v>
      </c>
      <c r="B2019" s="102">
        <v>9915.9500000000007</v>
      </c>
    </row>
    <row r="2020" spans="1:2" x14ac:dyDescent="0.3">
      <c r="A2020" s="101">
        <v>42930</v>
      </c>
      <c r="B2020" s="102">
        <v>9886.35</v>
      </c>
    </row>
    <row r="2021" spans="1:2" x14ac:dyDescent="0.3">
      <c r="A2021" s="101">
        <v>42929</v>
      </c>
      <c r="B2021" s="102">
        <v>9891.7000000000007</v>
      </c>
    </row>
    <row r="2022" spans="1:2" x14ac:dyDescent="0.3">
      <c r="A2022" s="101">
        <v>42928</v>
      </c>
      <c r="B2022" s="102">
        <v>9816.1</v>
      </c>
    </row>
    <row r="2023" spans="1:2" x14ac:dyDescent="0.3">
      <c r="A2023" s="101">
        <v>42927</v>
      </c>
      <c r="B2023" s="102">
        <v>9786.0499999999993</v>
      </c>
    </row>
    <row r="2024" spans="1:2" x14ac:dyDescent="0.3">
      <c r="A2024" s="101">
        <v>42926</v>
      </c>
      <c r="B2024" s="102">
        <v>9771.0499999999993</v>
      </c>
    </row>
    <row r="2025" spans="1:2" x14ac:dyDescent="0.3">
      <c r="A2025" s="101">
        <v>42923</v>
      </c>
      <c r="B2025" s="102">
        <v>9665.7999999999993</v>
      </c>
    </row>
    <row r="2026" spans="1:2" x14ac:dyDescent="0.3">
      <c r="A2026" s="101">
        <v>42922</v>
      </c>
      <c r="B2026" s="102">
        <v>9674.5499999999993</v>
      </c>
    </row>
    <row r="2027" spans="1:2" x14ac:dyDescent="0.3">
      <c r="A2027" s="101">
        <v>42921</v>
      </c>
      <c r="B2027" s="102">
        <v>9637.6</v>
      </c>
    </row>
    <row r="2028" spans="1:2" x14ac:dyDescent="0.3">
      <c r="A2028" s="101">
        <v>42920</v>
      </c>
      <c r="B2028" s="102">
        <v>9613.2999999999993</v>
      </c>
    </row>
    <row r="2029" spans="1:2" x14ac:dyDescent="0.3">
      <c r="A2029" s="101">
        <v>42919</v>
      </c>
      <c r="B2029" s="102">
        <v>9615</v>
      </c>
    </row>
    <row r="2030" spans="1:2" x14ac:dyDescent="0.3">
      <c r="A2030" s="101">
        <v>42916</v>
      </c>
      <c r="B2030" s="102">
        <v>9520.9</v>
      </c>
    </row>
    <row r="2031" spans="1:2" x14ac:dyDescent="0.3">
      <c r="A2031" s="101">
        <v>42915</v>
      </c>
      <c r="B2031" s="102">
        <v>9504.1</v>
      </c>
    </row>
    <row r="2032" spans="1:2" x14ac:dyDescent="0.3">
      <c r="A2032" s="101">
        <v>42914</v>
      </c>
      <c r="B2032" s="102">
        <v>9491.25</v>
      </c>
    </row>
    <row r="2033" spans="1:2" x14ac:dyDescent="0.3">
      <c r="A2033" s="101">
        <v>42913</v>
      </c>
      <c r="B2033" s="102">
        <v>9511.4</v>
      </c>
    </row>
    <row r="2034" spans="1:2" x14ac:dyDescent="0.3">
      <c r="A2034" s="101">
        <v>42909</v>
      </c>
      <c r="B2034" s="102">
        <v>9574.9500000000007</v>
      </c>
    </row>
    <row r="2035" spans="1:2" x14ac:dyDescent="0.3">
      <c r="A2035" s="101">
        <v>42908</v>
      </c>
      <c r="B2035" s="102">
        <v>9630</v>
      </c>
    </row>
    <row r="2036" spans="1:2" x14ac:dyDescent="0.3">
      <c r="A2036" s="101">
        <v>42907</v>
      </c>
      <c r="B2036" s="102">
        <v>9633.6</v>
      </c>
    </row>
    <row r="2037" spans="1:2" x14ac:dyDescent="0.3">
      <c r="A2037" s="101">
        <v>42906</v>
      </c>
      <c r="B2037" s="102">
        <v>9653.5</v>
      </c>
    </row>
    <row r="2038" spans="1:2" x14ac:dyDescent="0.3">
      <c r="A2038" s="101">
        <v>42905</v>
      </c>
      <c r="B2038" s="102">
        <v>9657.5499999999993</v>
      </c>
    </row>
    <row r="2039" spans="1:2" x14ac:dyDescent="0.3">
      <c r="A2039" s="101">
        <v>42902</v>
      </c>
      <c r="B2039" s="102">
        <v>9588.0499999999993</v>
      </c>
    </row>
    <row r="2040" spans="1:2" x14ac:dyDescent="0.3">
      <c r="A2040" s="101">
        <v>42901</v>
      </c>
      <c r="B2040" s="102">
        <v>9578.0499999999993</v>
      </c>
    </row>
    <row r="2041" spans="1:2" x14ac:dyDescent="0.3">
      <c r="A2041" s="101">
        <v>42900</v>
      </c>
      <c r="B2041" s="102">
        <v>9618.15</v>
      </c>
    </row>
    <row r="2042" spans="1:2" x14ac:dyDescent="0.3">
      <c r="A2042" s="101">
        <v>42899</v>
      </c>
      <c r="B2042" s="102">
        <v>9606.9</v>
      </c>
    </row>
    <row r="2043" spans="1:2" x14ac:dyDescent="0.3">
      <c r="A2043" s="101">
        <v>42898</v>
      </c>
      <c r="B2043" s="102">
        <v>9616.4</v>
      </c>
    </row>
    <row r="2044" spans="1:2" x14ac:dyDescent="0.3">
      <c r="A2044" s="101">
        <v>42895</v>
      </c>
      <c r="B2044" s="102">
        <v>9668.25</v>
      </c>
    </row>
    <row r="2045" spans="1:2" x14ac:dyDescent="0.3">
      <c r="A2045" s="101">
        <v>42894</v>
      </c>
      <c r="B2045" s="102">
        <v>9647.25</v>
      </c>
    </row>
    <row r="2046" spans="1:2" x14ac:dyDescent="0.3">
      <c r="A2046" s="101">
        <v>42893</v>
      </c>
      <c r="B2046" s="102">
        <v>9663.9</v>
      </c>
    </row>
    <row r="2047" spans="1:2" x14ac:dyDescent="0.3">
      <c r="A2047" s="101">
        <v>42892</v>
      </c>
      <c r="B2047" s="102">
        <v>9637.15</v>
      </c>
    </row>
    <row r="2048" spans="1:2" x14ac:dyDescent="0.3">
      <c r="A2048" s="101">
        <v>42891</v>
      </c>
      <c r="B2048" s="102">
        <v>9675.1</v>
      </c>
    </row>
    <row r="2049" spans="1:2" x14ac:dyDescent="0.3">
      <c r="A2049" s="101">
        <v>42888</v>
      </c>
      <c r="B2049" s="102">
        <v>9653.5</v>
      </c>
    </row>
    <row r="2050" spans="1:2" x14ac:dyDescent="0.3">
      <c r="A2050" s="101">
        <v>42887</v>
      </c>
      <c r="B2050" s="102">
        <v>9616.1</v>
      </c>
    </row>
    <row r="2051" spans="1:2" x14ac:dyDescent="0.3">
      <c r="A2051" s="101">
        <v>42886</v>
      </c>
      <c r="B2051" s="102">
        <v>9621.25</v>
      </c>
    </row>
    <row r="2052" spans="1:2" x14ac:dyDescent="0.3">
      <c r="A2052" s="101">
        <v>42885</v>
      </c>
      <c r="B2052" s="102">
        <v>9624.5499999999993</v>
      </c>
    </row>
    <row r="2053" spans="1:2" x14ac:dyDescent="0.3">
      <c r="A2053" s="101">
        <v>42884</v>
      </c>
      <c r="B2053" s="102">
        <v>9604.9</v>
      </c>
    </row>
    <row r="2054" spans="1:2" x14ac:dyDescent="0.3">
      <c r="A2054" s="101">
        <v>42881</v>
      </c>
      <c r="B2054" s="102">
        <v>9595.1</v>
      </c>
    </row>
    <row r="2055" spans="1:2" x14ac:dyDescent="0.3">
      <c r="A2055" s="101">
        <v>42880</v>
      </c>
      <c r="B2055" s="102">
        <v>9509.75</v>
      </c>
    </row>
    <row r="2056" spans="1:2" x14ac:dyDescent="0.3">
      <c r="A2056" s="101">
        <v>42879</v>
      </c>
      <c r="B2056" s="102">
        <v>9360.5499999999993</v>
      </c>
    </row>
    <row r="2057" spans="1:2" x14ac:dyDescent="0.3">
      <c r="A2057" s="101">
        <v>42878</v>
      </c>
      <c r="B2057" s="102">
        <v>9386.15</v>
      </c>
    </row>
    <row r="2058" spans="1:2" x14ac:dyDescent="0.3">
      <c r="A2058" s="101">
        <v>42877</v>
      </c>
      <c r="B2058" s="102">
        <v>9438.25</v>
      </c>
    </row>
    <row r="2059" spans="1:2" x14ac:dyDescent="0.3">
      <c r="A2059" s="101">
        <v>42874</v>
      </c>
      <c r="B2059" s="102">
        <v>9427.9</v>
      </c>
    </row>
    <row r="2060" spans="1:2" x14ac:dyDescent="0.3">
      <c r="A2060" s="101">
        <v>42873</v>
      </c>
      <c r="B2060" s="102">
        <v>9429.4500000000007</v>
      </c>
    </row>
    <row r="2061" spans="1:2" x14ac:dyDescent="0.3">
      <c r="A2061" s="101">
        <v>42872</v>
      </c>
      <c r="B2061" s="102">
        <v>9525.75</v>
      </c>
    </row>
    <row r="2062" spans="1:2" x14ac:dyDescent="0.3">
      <c r="A2062" s="101">
        <v>42871</v>
      </c>
      <c r="B2062" s="102">
        <v>9512.25</v>
      </c>
    </row>
    <row r="2063" spans="1:2" x14ac:dyDescent="0.3">
      <c r="A2063" s="101">
        <v>42870</v>
      </c>
      <c r="B2063" s="102">
        <v>9445.4</v>
      </c>
    </row>
    <row r="2064" spans="1:2" x14ac:dyDescent="0.3">
      <c r="A2064" s="101">
        <v>42867</v>
      </c>
      <c r="B2064" s="102">
        <v>9400.9</v>
      </c>
    </row>
    <row r="2065" spans="1:2" x14ac:dyDescent="0.3">
      <c r="A2065" s="101">
        <v>42866</v>
      </c>
      <c r="B2065" s="102">
        <v>9422.4</v>
      </c>
    </row>
    <row r="2066" spans="1:2" x14ac:dyDescent="0.3">
      <c r="A2066" s="101">
        <v>42865</v>
      </c>
      <c r="B2066" s="102">
        <v>9407.2999999999993</v>
      </c>
    </row>
    <row r="2067" spans="1:2" x14ac:dyDescent="0.3">
      <c r="A2067" s="101">
        <v>42864</v>
      </c>
      <c r="B2067" s="102">
        <v>9316.85</v>
      </c>
    </row>
    <row r="2068" spans="1:2" x14ac:dyDescent="0.3">
      <c r="A2068" s="101">
        <v>42863</v>
      </c>
      <c r="B2068" s="102">
        <v>9314.0499999999993</v>
      </c>
    </row>
    <row r="2069" spans="1:2" x14ac:dyDescent="0.3">
      <c r="A2069" s="101">
        <v>42860</v>
      </c>
      <c r="B2069" s="102">
        <v>9285.2999999999993</v>
      </c>
    </row>
    <row r="2070" spans="1:2" x14ac:dyDescent="0.3">
      <c r="A2070" s="101">
        <v>42859</v>
      </c>
      <c r="B2070" s="102">
        <v>9359.9</v>
      </c>
    </row>
    <row r="2071" spans="1:2" x14ac:dyDescent="0.3">
      <c r="A2071" s="101">
        <v>42858</v>
      </c>
      <c r="B2071" s="102">
        <v>9311.9500000000007</v>
      </c>
    </row>
    <row r="2072" spans="1:2" x14ac:dyDescent="0.3">
      <c r="A2072" s="101">
        <v>42857</v>
      </c>
      <c r="B2072" s="102">
        <v>9313.7999999999993</v>
      </c>
    </row>
    <row r="2073" spans="1:2" x14ac:dyDescent="0.3">
      <c r="A2073" s="101">
        <v>42853</v>
      </c>
      <c r="B2073" s="102">
        <v>9304.0499999999993</v>
      </c>
    </row>
    <row r="2074" spans="1:2" x14ac:dyDescent="0.3">
      <c r="A2074" s="101">
        <v>42852</v>
      </c>
      <c r="B2074" s="102">
        <v>9342.15</v>
      </c>
    </row>
    <row r="2075" spans="1:2" x14ac:dyDescent="0.3">
      <c r="A2075" s="101">
        <v>42851</v>
      </c>
      <c r="B2075" s="102">
        <v>9351.85</v>
      </c>
    </row>
    <row r="2076" spans="1:2" x14ac:dyDescent="0.3">
      <c r="A2076" s="101">
        <v>42850</v>
      </c>
      <c r="B2076" s="102">
        <v>9306.6</v>
      </c>
    </row>
    <row r="2077" spans="1:2" x14ac:dyDescent="0.3">
      <c r="A2077" s="101">
        <v>42849</v>
      </c>
      <c r="B2077" s="102">
        <v>9217.9500000000007</v>
      </c>
    </row>
    <row r="2078" spans="1:2" x14ac:dyDescent="0.3">
      <c r="A2078" s="101">
        <v>42846</v>
      </c>
      <c r="B2078" s="102">
        <v>9119.4</v>
      </c>
    </row>
    <row r="2079" spans="1:2" x14ac:dyDescent="0.3">
      <c r="A2079" s="101">
        <v>42845</v>
      </c>
      <c r="B2079" s="102">
        <v>9136.4</v>
      </c>
    </row>
    <row r="2080" spans="1:2" x14ac:dyDescent="0.3">
      <c r="A2080" s="101">
        <v>42844</v>
      </c>
      <c r="B2080" s="102">
        <v>9103.5</v>
      </c>
    </row>
    <row r="2081" spans="1:2" x14ac:dyDescent="0.3">
      <c r="A2081" s="101">
        <v>42843</v>
      </c>
      <c r="B2081" s="102">
        <v>9105.15</v>
      </c>
    </row>
    <row r="2082" spans="1:2" x14ac:dyDescent="0.3">
      <c r="A2082" s="101">
        <v>42842</v>
      </c>
      <c r="B2082" s="102">
        <v>9139.2999999999993</v>
      </c>
    </row>
    <row r="2083" spans="1:2" x14ac:dyDescent="0.3">
      <c r="A2083" s="101">
        <v>42838</v>
      </c>
      <c r="B2083" s="102">
        <v>9150.7999999999993</v>
      </c>
    </row>
    <row r="2084" spans="1:2" x14ac:dyDescent="0.3">
      <c r="A2084" s="101">
        <v>42837</v>
      </c>
      <c r="B2084" s="102">
        <v>9203.4500000000007</v>
      </c>
    </row>
    <row r="2085" spans="1:2" x14ac:dyDescent="0.3">
      <c r="A2085" s="101">
        <v>42836</v>
      </c>
      <c r="B2085" s="102">
        <v>9237</v>
      </c>
    </row>
    <row r="2086" spans="1:2" x14ac:dyDescent="0.3">
      <c r="A2086" s="101">
        <v>42835</v>
      </c>
      <c r="B2086" s="102">
        <v>9181.4500000000007</v>
      </c>
    </row>
    <row r="2087" spans="1:2" x14ac:dyDescent="0.3">
      <c r="A2087" s="101">
        <v>42832</v>
      </c>
      <c r="B2087" s="102">
        <v>9198.2999999999993</v>
      </c>
    </row>
    <row r="2088" spans="1:2" x14ac:dyDescent="0.3">
      <c r="A2088" s="101">
        <v>42831</v>
      </c>
      <c r="B2088" s="102">
        <v>9261.9500000000007</v>
      </c>
    </row>
    <row r="2089" spans="1:2" x14ac:dyDescent="0.3">
      <c r="A2089" s="101">
        <v>42830</v>
      </c>
      <c r="B2089" s="102">
        <v>9265.15</v>
      </c>
    </row>
    <row r="2090" spans="1:2" x14ac:dyDescent="0.3">
      <c r="A2090" s="101">
        <v>42828</v>
      </c>
      <c r="B2090" s="102">
        <v>9237.85</v>
      </c>
    </row>
    <row r="2091" spans="1:2" x14ac:dyDescent="0.3">
      <c r="A2091" s="101">
        <v>42825</v>
      </c>
      <c r="B2091" s="102">
        <v>9173.75</v>
      </c>
    </row>
    <row r="2092" spans="1:2" x14ac:dyDescent="0.3">
      <c r="A2092" s="101">
        <v>42824</v>
      </c>
      <c r="B2092" s="102">
        <v>9173.75</v>
      </c>
    </row>
    <row r="2093" spans="1:2" x14ac:dyDescent="0.3">
      <c r="A2093" s="101">
        <v>42823</v>
      </c>
      <c r="B2093" s="102">
        <v>9143.7999999999993</v>
      </c>
    </row>
    <row r="2094" spans="1:2" x14ac:dyDescent="0.3">
      <c r="A2094" s="101">
        <v>42822</v>
      </c>
      <c r="B2094" s="102">
        <v>9100.7999999999993</v>
      </c>
    </row>
    <row r="2095" spans="1:2" x14ac:dyDescent="0.3">
      <c r="A2095" s="101">
        <v>42821</v>
      </c>
      <c r="B2095" s="102">
        <v>9045.2000000000007</v>
      </c>
    </row>
    <row r="2096" spans="1:2" x14ac:dyDescent="0.3">
      <c r="A2096" s="101">
        <v>42818</v>
      </c>
      <c r="B2096" s="102">
        <v>9108</v>
      </c>
    </row>
    <row r="2097" spans="1:2" x14ac:dyDescent="0.3">
      <c r="A2097" s="101">
        <v>42817</v>
      </c>
      <c r="B2097" s="102">
        <v>9086.2999999999993</v>
      </c>
    </row>
    <row r="2098" spans="1:2" x14ac:dyDescent="0.3">
      <c r="A2098" s="101">
        <v>42816</v>
      </c>
      <c r="B2098" s="102">
        <v>9030.4500000000007</v>
      </c>
    </row>
    <row r="2099" spans="1:2" x14ac:dyDescent="0.3">
      <c r="A2099" s="101">
        <v>42815</v>
      </c>
      <c r="B2099" s="102">
        <v>9121.5</v>
      </c>
    </row>
    <row r="2100" spans="1:2" x14ac:dyDescent="0.3">
      <c r="A2100" s="101">
        <v>42814</v>
      </c>
      <c r="B2100" s="102">
        <v>9126.85</v>
      </c>
    </row>
    <row r="2101" spans="1:2" x14ac:dyDescent="0.3">
      <c r="A2101" s="101">
        <v>42811</v>
      </c>
      <c r="B2101" s="102">
        <v>9160.0499999999993</v>
      </c>
    </row>
    <row r="2102" spans="1:2" x14ac:dyDescent="0.3">
      <c r="A2102" s="101">
        <v>42810</v>
      </c>
      <c r="B2102" s="102">
        <v>9153.7000000000007</v>
      </c>
    </row>
    <row r="2103" spans="1:2" x14ac:dyDescent="0.3">
      <c r="A2103" s="101">
        <v>42809</v>
      </c>
      <c r="B2103" s="102">
        <v>9084.7999999999993</v>
      </c>
    </row>
    <row r="2104" spans="1:2" x14ac:dyDescent="0.3">
      <c r="A2104" s="101">
        <v>42808</v>
      </c>
      <c r="B2104" s="102">
        <v>9087</v>
      </c>
    </row>
    <row r="2105" spans="1:2" x14ac:dyDescent="0.3">
      <c r="A2105" s="101">
        <v>42804</v>
      </c>
      <c r="B2105" s="102">
        <v>8934.5499999999993</v>
      </c>
    </row>
    <row r="2106" spans="1:2" x14ac:dyDescent="0.3">
      <c r="A2106" s="101">
        <v>42803</v>
      </c>
      <c r="B2106" s="102">
        <v>8927</v>
      </c>
    </row>
    <row r="2107" spans="1:2" x14ac:dyDescent="0.3">
      <c r="A2107" s="101">
        <v>42802</v>
      </c>
      <c r="B2107" s="102">
        <v>8924.2999999999993</v>
      </c>
    </row>
    <row r="2108" spans="1:2" x14ac:dyDescent="0.3">
      <c r="A2108" s="101">
        <v>42801</v>
      </c>
      <c r="B2108" s="102">
        <v>8946.9</v>
      </c>
    </row>
    <row r="2109" spans="1:2" x14ac:dyDescent="0.3">
      <c r="A2109" s="101">
        <v>42800</v>
      </c>
      <c r="B2109" s="102">
        <v>8963.4500000000007</v>
      </c>
    </row>
    <row r="2110" spans="1:2" x14ac:dyDescent="0.3">
      <c r="A2110" s="101">
        <v>42797</v>
      </c>
      <c r="B2110" s="102">
        <v>8897.5499999999993</v>
      </c>
    </row>
    <row r="2111" spans="1:2" x14ac:dyDescent="0.3">
      <c r="A2111" s="101">
        <v>42796</v>
      </c>
      <c r="B2111" s="102">
        <v>8899.75</v>
      </c>
    </row>
    <row r="2112" spans="1:2" x14ac:dyDescent="0.3">
      <c r="A2112" s="101">
        <v>42795</v>
      </c>
      <c r="B2112" s="102">
        <v>8945.7999999999993</v>
      </c>
    </row>
    <row r="2113" spans="1:2" x14ac:dyDescent="0.3">
      <c r="A2113" s="101">
        <v>42794</v>
      </c>
      <c r="B2113" s="102">
        <v>8879.6</v>
      </c>
    </row>
    <row r="2114" spans="1:2" x14ac:dyDescent="0.3">
      <c r="A2114" s="101">
        <v>42793</v>
      </c>
      <c r="B2114" s="102">
        <v>8896.7000000000007</v>
      </c>
    </row>
    <row r="2115" spans="1:2" x14ac:dyDescent="0.3">
      <c r="A2115" s="101">
        <v>42789</v>
      </c>
      <c r="B2115" s="102">
        <v>8939.5</v>
      </c>
    </row>
    <row r="2116" spans="1:2" x14ac:dyDescent="0.3">
      <c r="A2116" s="101">
        <v>42788</v>
      </c>
      <c r="B2116" s="102">
        <v>8926.9</v>
      </c>
    </row>
    <row r="2117" spans="1:2" x14ac:dyDescent="0.3">
      <c r="A2117" s="101">
        <v>42787</v>
      </c>
      <c r="B2117" s="102">
        <v>8907.85</v>
      </c>
    </row>
    <row r="2118" spans="1:2" x14ac:dyDescent="0.3">
      <c r="A2118" s="101">
        <v>42786</v>
      </c>
      <c r="B2118" s="102">
        <v>8879.2000000000007</v>
      </c>
    </row>
    <row r="2119" spans="1:2" x14ac:dyDescent="0.3">
      <c r="A2119" s="101">
        <v>42783</v>
      </c>
      <c r="B2119" s="102">
        <v>8821.7000000000007</v>
      </c>
    </row>
    <row r="2120" spans="1:2" x14ac:dyDescent="0.3">
      <c r="A2120" s="101">
        <v>42782</v>
      </c>
      <c r="B2120" s="102">
        <v>8778</v>
      </c>
    </row>
    <row r="2121" spans="1:2" x14ac:dyDescent="0.3">
      <c r="A2121" s="101">
        <v>42781</v>
      </c>
      <c r="B2121" s="102">
        <v>8724.7000000000007</v>
      </c>
    </row>
    <row r="2122" spans="1:2" x14ac:dyDescent="0.3">
      <c r="A2122" s="101">
        <v>42780</v>
      </c>
      <c r="B2122" s="102">
        <v>8792.2999999999993</v>
      </c>
    </row>
    <row r="2123" spans="1:2" x14ac:dyDescent="0.3">
      <c r="A2123" s="101">
        <v>42779</v>
      </c>
      <c r="B2123" s="102">
        <v>8805.0499999999993</v>
      </c>
    </row>
    <row r="2124" spans="1:2" x14ac:dyDescent="0.3">
      <c r="A2124" s="101">
        <v>42776</v>
      </c>
      <c r="B2124" s="102">
        <v>8793.5499999999993</v>
      </c>
    </row>
    <row r="2125" spans="1:2" x14ac:dyDescent="0.3">
      <c r="A2125" s="101">
        <v>42775</v>
      </c>
      <c r="B2125" s="102">
        <v>8778.4</v>
      </c>
    </row>
    <row r="2126" spans="1:2" x14ac:dyDescent="0.3">
      <c r="A2126" s="101">
        <v>42774</v>
      </c>
      <c r="B2126" s="102">
        <v>8769.0499999999993</v>
      </c>
    </row>
    <row r="2127" spans="1:2" x14ac:dyDescent="0.3">
      <c r="A2127" s="101">
        <v>42773</v>
      </c>
      <c r="B2127" s="102">
        <v>8768.2999999999993</v>
      </c>
    </row>
    <row r="2128" spans="1:2" x14ac:dyDescent="0.3">
      <c r="A2128" s="101">
        <v>42772</v>
      </c>
      <c r="B2128" s="102">
        <v>8801.0499999999993</v>
      </c>
    </row>
    <row r="2129" spans="1:2" x14ac:dyDescent="0.3">
      <c r="A2129" s="101">
        <v>42769</v>
      </c>
      <c r="B2129" s="102">
        <v>8740.9500000000007</v>
      </c>
    </row>
    <row r="2130" spans="1:2" x14ac:dyDescent="0.3">
      <c r="A2130" s="101">
        <v>42768</v>
      </c>
      <c r="B2130" s="102">
        <v>8734.25</v>
      </c>
    </row>
    <row r="2131" spans="1:2" x14ac:dyDescent="0.3">
      <c r="A2131" s="101">
        <v>42767</v>
      </c>
      <c r="B2131" s="102">
        <v>8716.4</v>
      </c>
    </row>
    <row r="2132" spans="1:2" x14ac:dyDescent="0.3">
      <c r="A2132" s="101">
        <v>42766</v>
      </c>
      <c r="B2132" s="102">
        <v>8561.2999999999993</v>
      </c>
    </row>
    <row r="2133" spans="1:2" x14ac:dyDescent="0.3">
      <c r="A2133" s="101">
        <v>42765</v>
      </c>
      <c r="B2133" s="102">
        <v>8632.75</v>
      </c>
    </row>
    <row r="2134" spans="1:2" x14ac:dyDescent="0.3">
      <c r="A2134" s="101">
        <v>42762</v>
      </c>
      <c r="B2134" s="102">
        <v>8641.25</v>
      </c>
    </row>
    <row r="2135" spans="1:2" x14ac:dyDescent="0.3">
      <c r="A2135" s="101">
        <v>42760</v>
      </c>
      <c r="B2135" s="102">
        <v>8602.75</v>
      </c>
    </row>
    <row r="2136" spans="1:2" x14ac:dyDescent="0.3">
      <c r="A2136" s="101">
        <v>42759</v>
      </c>
      <c r="B2136" s="102">
        <v>8475.7999999999993</v>
      </c>
    </row>
    <row r="2137" spans="1:2" x14ac:dyDescent="0.3">
      <c r="A2137" s="101">
        <v>42758</v>
      </c>
      <c r="B2137" s="102">
        <v>8391.5</v>
      </c>
    </row>
    <row r="2138" spans="1:2" x14ac:dyDescent="0.3">
      <c r="A2138" s="101">
        <v>42755</v>
      </c>
      <c r="B2138" s="102">
        <v>8349.35</v>
      </c>
    </row>
    <row r="2139" spans="1:2" x14ac:dyDescent="0.3">
      <c r="A2139" s="101">
        <v>42754</v>
      </c>
      <c r="B2139" s="102">
        <v>8435.1</v>
      </c>
    </row>
    <row r="2140" spans="1:2" x14ac:dyDescent="0.3">
      <c r="A2140" s="101">
        <v>42753</v>
      </c>
      <c r="B2140" s="102">
        <v>8417</v>
      </c>
    </row>
    <row r="2141" spans="1:2" x14ac:dyDescent="0.3">
      <c r="A2141" s="101">
        <v>42752</v>
      </c>
      <c r="B2141" s="102">
        <v>8398</v>
      </c>
    </row>
    <row r="2142" spans="1:2" x14ac:dyDescent="0.3">
      <c r="A2142" s="101">
        <v>42751</v>
      </c>
      <c r="B2142" s="102">
        <v>8412.7999999999993</v>
      </c>
    </row>
    <row r="2143" spans="1:2" x14ac:dyDescent="0.3">
      <c r="A2143" s="101">
        <v>42748</v>
      </c>
      <c r="B2143" s="102">
        <v>8400.35</v>
      </c>
    </row>
    <row r="2144" spans="1:2" x14ac:dyDescent="0.3">
      <c r="A2144" s="101">
        <v>42747</v>
      </c>
      <c r="B2144" s="102">
        <v>8407.2000000000007</v>
      </c>
    </row>
    <row r="2145" spans="1:2" x14ac:dyDescent="0.3">
      <c r="A2145" s="101">
        <v>42746</v>
      </c>
      <c r="B2145" s="102">
        <v>8380.65</v>
      </c>
    </row>
    <row r="2146" spans="1:2" x14ac:dyDescent="0.3">
      <c r="A2146" s="101">
        <v>42745</v>
      </c>
      <c r="B2146" s="102">
        <v>8288.6</v>
      </c>
    </row>
    <row r="2147" spans="1:2" x14ac:dyDescent="0.3">
      <c r="A2147" s="101">
        <v>42744</v>
      </c>
      <c r="B2147" s="102">
        <v>8236.0499999999993</v>
      </c>
    </row>
    <row r="2148" spans="1:2" x14ac:dyDescent="0.3">
      <c r="A2148" s="101">
        <v>42741</v>
      </c>
      <c r="B2148" s="102">
        <v>8243.7999999999993</v>
      </c>
    </row>
    <row r="2149" spans="1:2" x14ac:dyDescent="0.3">
      <c r="A2149" s="101">
        <v>42740</v>
      </c>
      <c r="B2149" s="102">
        <v>8273.7999999999993</v>
      </c>
    </row>
    <row r="2150" spans="1:2" x14ac:dyDescent="0.3">
      <c r="A2150" s="101">
        <v>42739</v>
      </c>
      <c r="B2150" s="102">
        <v>8190.5</v>
      </c>
    </row>
    <row r="2151" spans="1:2" x14ac:dyDescent="0.3">
      <c r="A2151" s="101">
        <v>42738</v>
      </c>
      <c r="B2151" s="102">
        <v>8192.25</v>
      </c>
    </row>
    <row r="2152" spans="1:2" x14ac:dyDescent="0.3">
      <c r="A2152" s="101">
        <v>42737</v>
      </c>
      <c r="B2152" s="102">
        <v>8179.5</v>
      </c>
    </row>
    <row r="2153" spans="1:2" x14ac:dyDescent="0.3">
      <c r="A2153" s="101">
        <v>42734</v>
      </c>
      <c r="B2153" s="102">
        <v>8185.8</v>
      </c>
    </row>
    <row r="2154" spans="1:2" x14ac:dyDescent="0.3">
      <c r="A2154" s="101">
        <v>42733</v>
      </c>
      <c r="B2154" s="102">
        <v>8103.6</v>
      </c>
    </row>
    <row r="2155" spans="1:2" x14ac:dyDescent="0.3">
      <c r="A2155" s="101">
        <v>42732</v>
      </c>
      <c r="B2155" s="102">
        <v>8034.85</v>
      </c>
    </row>
    <row r="2156" spans="1:2" x14ac:dyDescent="0.3">
      <c r="A2156" s="101">
        <v>42731</v>
      </c>
      <c r="B2156" s="102">
        <v>8032.85</v>
      </c>
    </row>
    <row r="2157" spans="1:2" x14ac:dyDescent="0.3">
      <c r="A2157" s="101">
        <v>42730</v>
      </c>
      <c r="B2157" s="102">
        <v>7908.25</v>
      </c>
    </row>
    <row r="2158" spans="1:2" x14ac:dyDescent="0.3">
      <c r="A2158" s="101">
        <v>42727</v>
      </c>
      <c r="B2158" s="102">
        <v>7985.75</v>
      </c>
    </row>
    <row r="2159" spans="1:2" x14ac:dyDescent="0.3">
      <c r="A2159" s="101">
        <v>42726</v>
      </c>
      <c r="B2159" s="102">
        <v>7979.1</v>
      </c>
    </row>
    <row r="2160" spans="1:2" x14ac:dyDescent="0.3">
      <c r="A2160" s="101">
        <v>42725</v>
      </c>
      <c r="B2160" s="102">
        <v>8061.3</v>
      </c>
    </row>
    <row r="2161" spans="1:2" x14ac:dyDescent="0.3">
      <c r="A2161" s="101">
        <v>42724</v>
      </c>
      <c r="B2161" s="102">
        <v>8082.4</v>
      </c>
    </row>
    <row r="2162" spans="1:2" x14ac:dyDescent="0.3">
      <c r="A2162" s="101">
        <v>42723</v>
      </c>
      <c r="B2162" s="102">
        <v>8104.35</v>
      </c>
    </row>
    <row r="2163" spans="1:2" x14ac:dyDescent="0.3">
      <c r="A2163" s="101">
        <v>42720</v>
      </c>
      <c r="B2163" s="102">
        <v>8139.45</v>
      </c>
    </row>
    <row r="2164" spans="1:2" x14ac:dyDescent="0.3">
      <c r="A2164" s="101">
        <v>42719</v>
      </c>
      <c r="B2164" s="102">
        <v>8153.6</v>
      </c>
    </row>
    <row r="2165" spans="1:2" x14ac:dyDescent="0.3">
      <c r="A2165" s="101">
        <v>42718</v>
      </c>
      <c r="B2165" s="102">
        <v>8182.45</v>
      </c>
    </row>
    <row r="2166" spans="1:2" x14ac:dyDescent="0.3">
      <c r="A2166" s="101">
        <v>42717</v>
      </c>
      <c r="B2166" s="102">
        <v>8221.7999999999993</v>
      </c>
    </row>
    <row r="2167" spans="1:2" x14ac:dyDescent="0.3">
      <c r="A2167" s="101">
        <v>42716</v>
      </c>
      <c r="B2167" s="102">
        <v>8170.8</v>
      </c>
    </row>
    <row r="2168" spans="1:2" x14ac:dyDescent="0.3">
      <c r="A2168" s="101">
        <v>42713</v>
      </c>
      <c r="B2168" s="102">
        <v>8261.75</v>
      </c>
    </row>
    <row r="2169" spans="1:2" x14ac:dyDescent="0.3">
      <c r="A2169" s="101">
        <v>42712</v>
      </c>
      <c r="B2169" s="102">
        <v>8246.85</v>
      </c>
    </row>
    <row r="2170" spans="1:2" x14ac:dyDescent="0.3">
      <c r="A2170" s="101">
        <v>42711</v>
      </c>
      <c r="B2170" s="102">
        <v>8102.05</v>
      </c>
    </row>
    <row r="2171" spans="1:2" x14ac:dyDescent="0.3">
      <c r="A2171" s="101">
        <v>42710</v>
      </c>
      <c r="B2171" s="102">
        <v>8143.15</v>
      </c>
    </row>
    <row r="2172" spans="1:2" x14ac:dyDescent="0.3">
      <c r="A2172" s="101">
        <v>42709</v>
      </c>
      <c r="B2172" s="102">
        <v>8128.75</v>
      </c>
    </row>
    <row r="2173" spans="1:2" x14ac:dyDescent="0.3">
      <c r="A2173" s="101">
        <v>42706</v>
      </c>
      <c r="B2173" s="102">
        <v>8086.8</v>
      </c>
    </row>
    <row r="2174" spans="1:2" x14ac:dyDescent="0.3">
      <c r="A2174" s="101">
        <v>42705</v>
      </c>
      <c r="B2174" s="102">
        <v>8192.9</v>
      </c>
    </row>
    <row r="2175" spans="1:2" x14ac:dyDescent="0.3">
      <c r="A2175" s="101">
        <v>42704</v>
      </c>
      <c r="B2175" s="102">
        <v>8224.5</v>
      </c>
    </row>
    <row r="2176" spans="1:2" x14ac:dyDescent="0.3">
      <c r="A2176" s="101">
        <v>42703</v>
      </c>
      <c r="B2176" s="102">
        <v>8142.15</v>
      </c>
    </row>
    <row r="2177" spans="1:2" x14ac:dyDescent="0.3">
      <c r="A2177" s="101">
        <v>42702</v>
      </c>
      <c r="B2177" s="102">
        <v>8126.9</v>
      </c>
    </row>
    <row r="2178" spans="1:2" x14ac:dyDescent="0.3">
      <c r="A2178" s="101">
        <v>42699</v>
      </c>
      <c r="B2178" s="102">
        <v>8114.3</v>
      </c>
    </row>
    <row r="2179" spans="1:2" x14ac:dyDescent="0.3">
      <c r="A2179" s="101">
        <v>42698</v>
      </c>
      <c r="B2179" s="102">
        <v>7965.5</v>
      </c>
    </row>
    <row r="2180" spans="1:2" x14ac:dyDescent="0.3">
      <c r="A2180" s="101">
        <v>42697</v>
      </c>
      <c r="B2180" s="102">
        <v>8033.3</v>
      </c>
    </row>
    <row r="2181" spans="1:2" x14ac:dyDescent="0.3">
      <c r="A2181" s="101">
        <v>42696</v>
      </c>
      <c r="B2181" s="102">
        <v>8002.3</v>
      </c>
    </row>
    <row r="2182" spans="1:2" x14ac:dyDescent="0.3">
      <c r="A2182" s="101">
        <v>42695</v>
      </c>
      <c r="B2182" s="102">
        <v>7929.1</v>
      </c>
    </row>
    <row r="2183" spans="1:2" x14ac:dyDescent="0.3">
      <c r="A2183" s="101">
        <v>42692</v>
      </c>
      <c r="B2183" s="102">
        <v>8074.1</v>
      </c>
    </row>
    <row r="2184" spans="1:2" x14ac:dyDescent="0.3">
      <c r="A2184" s="101">
        <v>42691</v>
      </c>
      <c r="B2184" s="102">
        <v>8079.95</v>
      </c>
    </row>
    <row r="2185" spans="1:2" x14ac:dyDescent="0.3">
      <c r="A2185" s="101">
        <v>42690</v>
      </c>
      <c r="B2185" s="102">
        <v>8111.6</v>
      </c>
    </row>
    <row r="2186" spans="1:2" x14ac:dyDescent="0.3">
      <c r="A2186" s="101">
        <v>42689</v>
      </c>
      <c r="B2186" s="102">
        <v>8108.45</v>
      </c>
    </row>
    <row r="2187" spans="1:2" x14ac:dyDescent="0.3">
      <c r="A2187" s="101">
        <v>42685</v>
      </c>
      <c r="B2187" s="102">
        <v>8296.2999999999993</v>
      </c>
    </row>
    <row r="2188" spans="1:2" x14ac:dyDescent="0.3">
      <c r="A2188" s="101">
        <v>42684</v>
      </c>
      <c r="B2188" s="102">
        <v>8525.75</v>
      </c>
    </row>
    <row r="2189" spans="1:2" x14ac:dyDescent="0.3">
      <c r="A2189" s="101">
        <v>42683</v>
      </c>
      <c r="B2189" s="102">
        <v>8432</v>
      </c>
    </row>
    <row r="2190" spans="1:2" x14ac:dyDescent="0.3">
      <c r="A2190" s="101">
        <v>42682</v>
      </c>
      <c r="B2190" s="102">
        <v>8543.5499999999993</v>
      </c>
    </row>
    <row r="2191" spans="1:2" x14ac:dyDescent="0.3">
      <c r="A2191" s="101">
        <v>42681</v>
      </c>
      <c r="B2191" s="102">
        <v>8497.0499999999993</v>
      </c>
    </row>
    <row r="2192" spans="1:2" x14ac:dyDescent="0.3">
      <c r="A2192" s="101">
        <v>42678</v>
      </c>
      <c r="B2192" s="102">
        <v>8433.75</v>
      </c>
    </row>
    <row r="2193" spans="1:2" x14ac:dyDescent="0.3">
      <c r="A2193" s="101">
        <v>42677</v>
      </c>
      <c r="B2193" s="102">
        <v>8484.9500000000007</v>
      </c>
    </row>
    <row r="2194" spans="1:2" x14ac:dyDescent="0.3">
      <c r="A2194" s="101">
        <v>42676</v>
      </c>
      <c r="B2194" s="102">
        <v>8514</v>
      </c>
    </row>
    <row r="2195" spans="1:2" x14ac:dyDescent="0.3">
      <c r="A2195" s="101">
        <v>42675</v>
      </c>
      <c r="B2195" s="102">
        <v>8626.25</v>
      </c>
    </row>
    <row r="2196" spans="1:2" x14ac:dyDescent="0.3">
      <c r="A2196" s="101">
        <v>42673</v>
      </c>
      <c r="B2196" s="102">
        <v>8625.7000000000007</v>
      </c>
    </row>
    <row r="2197" spans="1:2" x14ac:dyDescent="0.3">
      <c r="A2197" s="101">
        <v>42671</v>
      </c>
      <c r="B2197" s="102">
        <v>8638</v>
      </c>
    </row>
    <row r="2198" spans="1:2" x14ac:dyDescent="0.3">
      <c r="A2198" s="101">
        <v>42670</v>
      </c>
      <c r="B2198" s="102">
        <v>8615.25</v>
      </c>
    </row>
    <row r="2199" spans="1:2" x14ac:dyDescent="0.3">
      <c r="A2199" s="101">
        <v>42669</v>
      </c>
      <c r="B2199" s="102">
        <v>8615.25</v>
      </c>
    </row>
    <row r="2200" spans="1:2" x14ac:dyDescent="0.3">
      <c r="A2200" s="101">
        <v>42668</v>
      </c>
      <c r="B2200" s="102">
        <v>8691.2999999999993</v>
      </c>
    </row>
    <row r="2201" spans="1:2" x14ac:dyDescent="0.3">
      <c r="A2201" s="101">
        <v>42667</v>
      </c>
      <c r="B2201" s="102">
        <v>8708.9500000000007</v>
      </c>
    </row>
    <row r="2202" spans="1:2" x14ac:dyDescent="0.3">
      <c r="A2202" s="101">
        <v>42664</v>
      </c>
      <c r="B2202" s="102">
        <v>8693.0499999999993</v>
      </c>
    </row>
    <row r="2203" spans="1:2" x14ac:dyDescent="0.3">
      <c r="A2203" s="101">
        <v>42663</v>
      </c>
      <c r="B2203" s="102">
        <v>8699.4</v>
      </c>
    </row>
    <row r="2204" spans="1:2" x14ac:dyDescent="0.3">
      <c r="A2204" s="101">
        <v>42662</v>
      </c>
      <c r="B2204" s="102">
        <v>8659.1</v>
      </c>
    </row>
    <row r="2205" spans="1:2" x14ac:dyDescent="0.3">
      <c r="A2205" s="101">
        <v>42661</v>
      </c>
      <c r="B2205" s="102">
        <v>8677.9</v>
      </c>
    </row>
    <row r="2206" spans="1:2" x14ac:dyDescent="0.3">
      <c r="A2206" s="101">
        <v>42660</v>
      </c>
      <c r="B2206" s="102">
        <v>8520.4</v>
      </c>
    </row>
    <row r="2207" spans="1:2" x14ac:dyDescent="0.3">
      <c r="A2207" s="101">
        <v>42657</v>
      </c>
      <c r="B2207" s="102">
        <v>8583.4</v>
      </c>
    </row>
    <row r="2208" spans="1:2" x14ac:dyDescent="0.3">
      <c r="A2208" s="101">
        <v>42656</v>
      </c>
      <c r="B2208" s="102">
        <v>8573.35</v>
      </c>
    </row>
    <row r="2209" spans="1:2" x14ac:dyDescent="0.3">
      <c r="A2209" s="101">
        <v>42653</v>
      </c>
      <c r="B2209" s="102">
        <v>8708.7999999999993</v>
      </c>
    </row>
    <row r="2210" spans="1:2" x14ac:dyDescent="0.3">
      <c r="A2210" s="101">
        <v>42650</v>
      </c>
      <c r="B2210" s="102">
        <v>8697.6</v>
      </c>
    </row>
    <row r="2211" spans="1:2" x14ac:dyDescent="0.3">
      <c r="A2211" s="101">
        <v>42649</v>
      </c>
      <c r="B2211" s="102">
        <v>8709.5499999999993</v>
      </c>
    </row>
    <row r="2212" spans="1:2" x14ac:dyDescent="0.3">
      <c r="A2212" s="101">
        <v>42648</v>
      </c>
      <c r="B2212" s="102">
        <v>8743.9500000000007</v>
      </c>
    </row>
    <row r="2213" spans="1:2" x14ac:dyDescent="0.3">
      <c r="A2213" s="101">
        <v>42647</v>
      </c>
      <c r="B2213" s="102">
        <v>8769.15</v>
      </c>
    </row>
    <row r="2214" spans="1:2" x14ac:dyDescent="0.3">
      <c r="A2214" s="101">
        <v>42646</v>
      </c>
      <c r="B2214" s="102">
        <v>8738.1</v>
      </c>
    </row>
    <row r="2215" spans="1:2" x14ac:dyDescent="0.3">
      <c r="A2215" s="101">
        <v>42643</v>
      </c>
      <c r="B2215" s="102">
        <v>8611.15</v>
      </c>
    </row>
    <row r="2216" spans="1:2" x14ac:dyDescent="0.3">
      <c r="A2216" s="101">
        <v>42642</v>
      </c>
      <c r="B2216" s="102">
        <v>8591.25</v>
      </c>
    </row>
    <row r="2217" spans="1:2" x14ac:dyDescent="0.3">
      <c r="A2217" s="101">
        <v>42641</v>
      </c>
      <c r="B2217" s="102">
        <v>8745.15</v>
      </c>
    </row>
    <row r="2218" spans="1:2" x14ac:dyDescent="0.3">
      <c r="A2218" s="101">
        <v>42640</v>
      </c>
      <c r="B2218" s="102">
        <v>8706.4</v>
      </c>
    </row>
    <row r="2219" spans="1:2" x14ac:dyDescent="0.3">
      <c r="A2219" s="101">
        <v>42639</v>
      </c>
      <c r="B2219" s="102">
        <v>8723.0499999999993</v>
      </c>
    </row>
    <row r="2220" spans="1:2" x14ac:dyDescent="0.3">
      <c r="A2220" s="101">
        <v>42636</v>
      </c>
      <c r="B2220" s="102">
        <v>8831.5499999999993</v>
      </c>
    </row>
    <row r="2221" spans="1:2" x14ac:dyDescent="0.3">
      <c r="A2221" s="101">
        <v>42635</v>
      </c>
      <c r="B2221" s="102">
        <v>8867.4500000000007</v>
      </c>
    </row>
    <row r="2222" spans="1:2" x14ac:dyDescent="0.3">
      <c r="A2222" s="101">
        <v>42634</v>
      </c>
      <c r="B2222" s="102">
        <v>8777.15</v>
      </c>
    </row>
    <row r="2223" spans="1:2" x14ac:dyDescent="0.3">
      <c r="A2223" s="101">
        <v>42633</v>
      </c>
      <c r="B2223" s="102">
        <v>8775.9</v>
      </c>
    </row>
    <row r="2224" spans="1:2" x14ac:dyDescent="0.3">
      <c r="A2224" s="101">
        <v>42632</v>
      </c>
      <c r="B2224" s="102">
        <v>8808.4</v>
      </c>
    </row>
    <row r="2225" spans="1:2" x14ac:dyDescent="0.3">
      <c r="A2225" s="101">
        <v>42629</v>
      </c>
      <c r="B2225" s="102">
        <v>8779.85</v>
      </c>
    </row>
    <row r="2226" spans="1:2" x14ac:dyDescent="0.3">
      <c r="A2226" s="101">
        <v>42628</v>
      </c>
      <c r="B2226" s="102">
        <v>8742.5499999999993</v>
      </c>
    </row>
    <row r="2227" spans="1:2" x14ac:dyDescent="0.3">
      <c r="A2227" s="101">
        <v>42627</v>
      </c>
      <c r="B2227" s="102">
        <v>8726.6</v>
      </c>
    </row>
    <row r="2228" spans="1:2" x14ac:dyDescent="0.3">
      <c r="A2228" s="101">
        <v>42625</v>
      </c>
      <c r="B2228" s="102">
        <v>8715.6</v>
      </c>
    </row>
    <row r="2229" spans="1:2" x14ac:dyDescent="0.3">
      <c r="A2229" s="101">
        <v>42622</v>
      </c>
      <c r="B2229" s="102">
        <v>8866.7000000000007</v>
      </c>
    </row>
    <row r="2230" spans="1:2" x14ac:dyDescent="0.3">
      <c r="A2230" s="101">
        <v>42621</v>
      </c>
      <c r="B2230" s="102">
        <v>8952.5</v>
      </c>
    </row>
    <row r="2231" spans="1:2" x14ac:dyDescent="0.3">
      <c r="A2231" s="101">
        <v>42620</v>
      </c>
      <c r="B2231" s="102">
        <v>8917.9500000000007</v>
      </c>
    </row>
    <row r="2232" spans="1:2" x14ac:dyDescent="0.3">
      <c r="A2232" s="101">
        <v>42619</v>
      </c>
      <c r="B2232" s="102">
        <v>8943</v>
      </c>
    </row>
    <row r="2233" spans="1:2" x14ac:dyDescent="0.3">
      <c r="A2233" s="101">
        <v>42615</v>
      </c>
      <c r="B2233" s="102">
        <v>8809.65</v>
      </c>
    </row>
    <row r="2234" spans="1:2" x14ac:dyDescent="0.3">
      <c r="A2234" s="101">
        <v>42614</v>
      </c>
      <c r="B2234" s="102">
        <v>8774.65</v>
      </c>
    </row>
    <row r="2235" spans="1:2" x14ac:dyDescent="0.3">
      <c r="A2235" s="101">
        <v>42613</v>
      </c>
      <c r="B2235" s="102">
        <v>8786.2000000000007</v>
      </c>
    </row>
    <row r="2236" spans="1:2" x14ac:dyDescent="0.3">
      <c r="A2236" s="101">
        <v>42612</v>
      </c>
      <c r="B2236" s="102">
        <v>8744.35</v>
      </c>
    </row>
    <row r="2237" spans="1:2" x14ac:dyDescent="0.3">
      <c r="A2237" s="101">
        <v>42611</v>
      </c>
      <c r="B2237" s="102">
        <v>8607.4500000000007</v>
      </c>
    </row>
    <row r="2238" spans="1:2" x14ac:dyDescent="0.3">
      <c r="A2238" s="101">
        <v>42608</v>
      </c>
      <c r="B2238" s="102">
        <v>8572.5499999999993</v>
      </c>
    </row>
    <row r="2239" spans="1:2" x14ac:dyDescent="0.3">
      <c r="A2239" s="101">
        <v>42607</v>
      </c>
      <c r="B2239" s="102">
        <v>8592.2000000000007</v>
      </c>
    </row>
    <row r="2240" spans="1:2" x14ac:dyDescent="0.3">
      <c r="A2240" s="101">
        <v>42606</v>
      </c>
      <c r="B2240" s="102">
        <v>8650.2999999999993</v>
      </c>
    </row>
    <row r="2241" spans="1:2" x14ac:dyDescent="0.3">
      <c r="A2241" s="101">
        <v>42605</v>
      </c>
      <c r="B2241" s="102">
        <v>8632.6</v>
      </c>
    </row>
    <row r="2242" spans="1:2" x14ac:dyDescent="0.3">
      <c r="A2242" s="101">
        <v>42604</v>
      </c>
      <c r="B2242" s="102">
        <v>8629.15</v>
      </c>
    </row>
    <row r="2243" spans="1:2" x14ac:dyDescent="0.3">
      <c r="A2243" s="101">
        <v>42601</v>
      </c>
      <c r="B2243" s="102">
        <v>8666.9</v>
      </c>
    </row>
    <row r="2244" spans="1:2" x14ac:dyDescent="0.3">
      <c r="A2244" s="101">
        <v>42600</v>
      </c>
      <c r="B2244" s="102">
        <v>8673.25</v>
      </c>
    </row>
    <row r="2245" spans="1:2" x14ac:dyDescent="0.3">
      <c r="A2245" s="101">
        <v>42599</v>
      </c>
      <c r="B2245" s="102">
        <v>8624.0499999999993</v>
      </c>
    </row>
    <row r="2246" spans="1:2" x14ac:dyDescent="0.3">
      <c r="A2246" s="101">
        <v>42598</v>
      </c>
      <c r="B2246" s="102">
        <v>8642.5499999999993</v>
      </c>
    </row>
    <row r="2247" spans="1:2" x14ac:dyDescent="0.3">
      <c r="A2247" s="101">
        <v>42594</v>
      </c>
      <c r="B2247" s="102">
        <v>8672.15</v>
      </c>
    </row>
    <row r="2248" spans="1:2" x14ac:dyDescent="0.3">
      <c r="A2248" s="101">
        <v>42593</v>
      </c>
      <c r="B2248" s="102">
        <v>8592.15</v>
      </c>
    </row>
    <row r="2249" spans="1:2" x14ac:dyDescent="0.3">
      <c r="A2249" s="101">
        <v>42592</v>
      </c>
      <c r="B2249" s="102">
        <v>8575.2999999999993</v>
      </c>
    </row>
    <row r="2250" spans="1:2" x14ac:dyDescent="0.3">
      <c r="A2250" s="101">
        <v>42591</v>
      </c>
      <c r="B2250" s="102">
        <v>8678.25</v>
      </c>
    </row>
    <row r="2251" spans="1:2" x14ac:dyDescent="0.3">
      <c r="A2251" s="101">
        <v>42590</v>
      </c>
      <c r="B2251" s="102">
        <v>8711.35</v>
      </c>
    </row>
    <row r="2252" spans="1:2" x14ac:dyDescent="0.3">
      <c r="A2252" s="101">
        <v>42587</v>
      </c>
      <c r="B2252" s="102">
        <v>8683.15</v>
      </c>
    </row>
    <row r="2253" spans="1:2" x14ac:dyDescent="0.3">
      <c r="A2253" s="101">
        <v>42586</v>
      </c>
      <c r="B2253" s="102">
        <v>8551.1</v>
      </c>
    </row>
    <row r="2254" spans="1:2" x14ac:dyDescent="0.3">
      <c r="A2254" s="101">
        <v>42585</v>
      </c>
      <c r="B2254" s="102">
        <v>8544.85</v>
      </c>
    </row>
    <row r="2255" spans="1:2" x14ac:dyDescent="0.3">
      <c r="A2255" s="101">
        <v>42584</v>
      </c>
      <c r="B2255" s="102">
        <v>8622.9</v>
      </c>
    </row>
    <row r="2256" spans="1:2" x14ac:dyDescent="0.3">
      <c r="A2256" s="101">
        <v>42583</v>
      </c>
      <c r="B2256" s="102">
        <v>8636.5499999999993</v>
      </c>
    </row>
    <row r="2257" spans="1:2" x14ac:dyDescent="0.3">
      <c r="A2257" s="101">
        <v>42580</v>
      </c>
      <c r="B2257" s="102">
        <v>8638.5</v>
      </c>
    </row>
    <row r="2258" spans="1:2" x14ac:dyDescent="0.3">
      <c r="A2258" s="101">
        <v>42579</v>
      </c>
      <c r="B2258" s="102">
        <v>8666.2999999999993</v>
      </c>
    </row>
    <row r="2259" spans="1:2" x14ac:dyDescent="0.3">
      <c r="A2259" s="101">
        <v>42578</v>
      </c>
      <c r="B2259" s="102">
        <v>8615.7999999999993</v>
      </c>
    </row>
    <row r="2260" spans="1:2" x14ac:dyDescent="0.3">
      <c r="A2260" s="101">
        <v>42577</v>
      </c>
      <c r="B2260" s="102">
        <v>8590.65</v>
      </c>
    </row>
    <row r="2261" spans="1:2" x14ac:dyDescent="0.3">
      <c r="A2261" s="101">
        <v>42576</v>
      </c>
      <c r="B2261" s="102">
        <v>8635.65</v>
      </c>
    </row>
    <row r="2262" spans="1:2" x14ac:dyDescent="0.3">
      <c r="A2262" s="101">
        <v>42573</v>
      </c>
      <c r="B2262" s="102">
        <v>8541.2000000000007</v>
      </c>
    </row>
    <row r="2263" spans="1:2" x14ac:dyDescent="0.3">
      <c r="A2263" s="101">
        <v>42572</v>
      </c>
      <c r="B2263" s="102">
        <v>8510.1</v>
      </c>
    </row>
    <row r="2264" spans="1:2" x14ac:dyDescent="0.3">
      <c r="A2264" s="101">
        <v>42571</v>
      </c>
      <c r="B2264" s="102">
        <v>8565.85</v>
      </c>
    </row>
    <row r="2265" spans="1:2" x14ac:dyDescent="0.3">
      <c r="A2265" s="101">
        <v>42570</v>
      </c>
      <c r="B2265" s="102">
        <v>8528.5499999999993</v>
      </c>
    </row>
    <row r="2266" spans="1:2" x14ac:dyDescent="0.3">
      <c r="A2266" s="101">
        <v>42569</v>
      </c>
      <c r="B2266" s="102">
        <v>8508.7000000000007</v>
      </c>
    </row>
    <row r="2267" spans="1:2" x14ac:dyDescent="0.3">
      <c r="A2267" s="101">
        <v>42566</v>
      </c>
      <c r="B2267" s="102">
        <v>8541.4</v>
      </c>
    </row>
    <row r="2268" spans="1:2" x14ac:dyDescent="0.3">
      <c r="A2268" s="101">
        <v>42565</v>
      </c>
      <c r="B2268" s="102">
        <v>8565</v>
      </c>
    </row>
    <row r="2269" spans="1:2" x14ac:dyDescent="0.3">
      <c r="A2269" s="101">
        <v>42564</v>
      </c>
      <c r="B2269" s="102">
        <v>8519.5</v>
      </c>
    </row>
    <row r="2270" spans="1:2" x14ac:dyDescent="0.3">
      <c r="A2270" s="101">
        <v>42563</v>
      </c>
      <c r="B2270" s="102">
        <v>8521.0499999999993</v>
      </c>
    </row>
    <row r="2271" spans="1:2" x14ac:dyDescent="0.3">
      <c r="A2271" s="101">
        <v>42562</v>
      </c>
      <c r="B2271" s="102">
        <v>8467.9</v>
      </c>
    </row>
    <row r="2272" spans="1:2" x14ac:dyDescent="0.3">
      <c r="A2272" s="101">
        <v>42559</v>
      </c>
      <c r="B2272" s="102">
        <v>8323.2000000000007</v>
      </c>
    </row>
    <row r="2273" spans="1:2" x14ac:dyDescent="0.3">
      <c r="A2273" s="101">
        <v>42558</v>
      </c>
      <c r="B2273" s="102">
        <v>8337.9</v>
      </c>
    </row>
    <row r="2274" spans="1:2" x14ac:dyDescent="0.3">
      <c r="A2274" s="101">
        <v>42556</v>
      </c>
      <c r="B2274" s="102">
        <v>8335.9500000000007</v>
      </c>
    </row>
    <row r="2275" spans="1:2" x14ac:dyDescent="0.3">
      <c r="A2275" s="101">
        <v>42555</v>
      </c>
      <c r="B2275" s="102">
        <v>8370.7000000000007</v>
      </c>
    </row>
    <row r="2276" spans="1:2" x14ac:dyDescent="0.3">
      <c r="A2276" s="101">
        <v>42552</v>
      </c>
      <c r="B2276" s="102">
        <v>8328.35</v>
      </c>
    </row>
    <row r="2277" spans="1:2" x14ac:dyDescent="0.3">
      <c r="A2277" s="101">
        <v>42551</v>
      </c>
      <c r="B2277" s="102">
        <v>8287.75</v>
      </c>
    </row>
    <row r="2278" spans="1:2" x14ac:dyDescent="0.3">
      <c r="A2278" s="101">
        <v>42550</v>
      </c>
      <c r="B2278" s="102">
        <v>8204</v>
      </c>
    </row>
    <row r="2279" spans="1:2" x14ac:dyDescent="0.3">
      <c r="A2279" s="101">
        <v>42549</v>
      </c>
      <c r="B2279" s="102">
        <v>8127.85</v>
      </c>
    </row>
    <row r="2280" spans="1:2" x14ac:dyDescent="0.3">
      <c r="A2280" s="101">
        <v>42548</v>
      </c>
      <c r="B2280" s="102">
        <v>8094.7</v>
      </c>
    </row>
    <row r="2281" spans="1:2" x14ac:dyDescent="0.3">
      <c r="A2281" s="101">
        <v>42545</v>
      </c>
      <c r="B2281" s="102">
        <v>8088.6</v>
      </c>
    </row>
    <row r="2282" spans="1:2" x14ac:dyDescent="0.3">
      <c r="A2282" s="101">
        <v>42544</v>
      </c>
      <c r="B2282" s="102">
        <v>8270.4500000000007</v>
      </c>
    </row>
    <row r="2283" spans="1:2" x14ac:dyDescent="0.3">
      <c r="A2283" s="101">
        <v>42543</v>
      </c>
      <c r="B2283" s="102">
        <v>8203.7000000000007</v>
      </c>
    </row>
    <row r="2284" spans="1:2" x14ac:dyDescent="0.3">
      <c r="A2284" s="101">
        <v>42542</v>
      </c>
      <c r="B2284" s="102">
        <v>8219.9</v>
      </c>
    </row>
    <row r="2285" spans="1:2" x14ac:dyDescent="0.3">
      <c r="A2285" s="101">
        <v>42541</v>
      </c>
      <c r="B2285" s="102">
        <v>8238.5</v>
      </c>
    </row>
    <row r="2286" spans="1:2" x14ac:dyDescent="0.3">
      <c r="A2286" s="101">
        <v>42538</v>
      </c>
      <c r="B2286" s="102">
        <v>8170.2</v>
      </c>
    </row>
    <row r="2287" spans="1:2" x14ac:dyDescent="0.3">
      <c r="A2287" s="101">
        <v>42537</v>
      </c>
      <c r="B2287" s="102">
        <v>8140.75</v>
      </c>
    </row>
    <row r="2288" spans="1:2" x14ac:dyDescent="0.3">
      <c r="A2288" s="101">
        <v>42536</v>
      </c>
      <c r="B2288" s="102">
        <v>8206.6</v>
      </c>
    </row>
    <row r="2289" spans="1:2" x14ac:dyDescent="0.3">
      <c r="A2289" s="101">
        <v>42535</v>
      </c>
      <c r="B2289" s="102">
        <v>8108.85</v>
      </c>
    </row>
    <row r="2290" spans="1:2" x14ac:dyDescent="0.3">
      <c r="A2290" s="101">
        <v>42534</v>
      </c>
      <c r="B2290" s="102">
        <v>8110.6</v>
      </c>
    </row>
    <row r="2291" spans="1:2" x14ac:dyDescent="0.3">
      <c r="A2291" s="101">
        <v>42531</v>
      </c>
      <c r="B2291" s="102">
        <v>8170.05</v>
      </c>
    </row>
    <row r="2292" spans="1:2" x14ac:dyDescent="0.3">
      <c r="A2292" s="101">
        <v>42530</v>
      </c>
      <c r="B2292" s="102">
        <v>8203.6</v>
      </c>
    </row>
    <row r="2293" spans="1:2" x14ac:dyDescent="0.3">
      <c r="A2293" s="101">
        <v>42529</v>
      </c>
      <c r="B2293" s="102">
        <v>8273.0499999999993</v>
      </c>
    </row>
    <row r="2294" spans="1:2" x14ac:dyDescent="0.3">
      <c r="A2294" s="101">
        <v>42528</v>
      </c>
      <c r="B2294" s="102">
        <v>8266.4500000000007</v>
      </c>
    </row>
    <row r="2295" spans="1:2" x14ac:dyDescent="0.3">
      <c r="A2295" s="101">
        <v>42527</v>
      </c>
      <c r="B2295" s="102">
        <v>8201.0499999999993</v>
      </c>
    </row>
    <row r="2296" spans="1:2" x14ac:dyDescent="0.3">
      <c r="A2296" s="101">
        <v>42524</v>
      </c>
      <c r="B2296" s="102">
        <v>8220.7999999999993</v>
      </c>
    </row>
    <row r="2297" spans="1:2" x14ac:dyDescent="0.3">
      <c r="A2297" s="101">
        <v>42523</v>
      </c>
      <c r="B2297" s="102">
        <v>8218.9500000000007</v>
      </c>
    </row>
    <row r="2298" spans="1:2" x14ac:dyDescent="0.3">
      <c r="A2298" s="101">
        <v>42522</v>
      </c>
      <c r="B2298" s="102">
        <v>8179.95</v>
      </c>
    </row>
    <row r="2299" spans="1:2" x14ac:dyDescent="0.3">
      <c r="A2299" s="101">
        <v>42521</v>
      </c>
      <c r="B2299" s="102">
        <v>8160.1</v>
      </c>
    </row>
    <row r="2300" spans="1:2" x14ac:dyDescent="0.3">
      <c r="A2300" s="101">
        <v>42520</v>
      </c>
      <c r="B2300" s="102">
        <v>8178.5</v>
      </c>
    </row>
    <row r="2301" spans="1:2" x14ac:dyDescent="0.3">
      <c r="A2301" s="101">
        <v>42517</v>
      </c>
      <c r="B2301" s="102">
        <v>8156.65</v>
      </c>
    </row>
    <row r="2302" spans="1:2" x14ac:dyDescent="0.3">
      <c r="A2302" s="101">
        <v>42516</v>
      </c>
      <c r="B2302" s="102">
        <v>8069.65</v>
      </c>
    </row>
    <row r="2303" spans="1:2" x14ac:dyDescent="0.3">
      <c r="A2303" s="101">
        <v>42515</v>
      </c>
      <c r="B2303" s="102">
        <v>7934.9</v>
      </c>
    </row>
    <row r="2304" spans="1:2" x14ac:dyDescent="0.3">
      <c r="A2304" s="101">
        <v>42514</v>
      </c>
      <c r="B2304" s="102">
        <v>7748.85</v>
      </c>
    </row>
    <row r="2305" spans="1:2" x14ac:dyDescent="0.3">
      <c r="A2305" s="101">
        <v>42513</v>
      </c>
      <c r="B2305" s="102">
        <v>7731.05</v>
      </c>
    </row>
    <row r="2306" spans="1:2" x14ac:dyDescent="0.3">
      <c r="A2306" s="101">
        <v>42510</v>
      </c>
      <c r="B2306" s="102">
        <v>7749.7</v>
      </c>
    </row>
    <row r="2307" spans="1:2" x14ac:dyDescent="0.3">
      <c r="A2307" s="101">
        <v>42509</v>
      </c>
      <c r="B2307" s="102">
        <v>7783.4</v>
      </c>
    </row>
    <row r="2308" spans="1:2" x14ac:dyDescent="0.3">
      <c r="A2308" s="101">
        <v>42508</v>
      </c>
      <c r="B2308" s="102">
        <v>7870.15</v>
      </c>
    </row>
    <row r="2309" spans="1:2" x14ac:dyDescent="0.3">
      <c r="A2309" s="101">
        <v>42507</v>
      </c>
      <c r="B2309" s="102">
        <v>7890.75</v>
      </c>
    </row>
    <row r="2310" spans="1:2" x14ac:dyDescent="0.3">
      <c r="A2310" s="101">
        <v>42506</v>
      </c>
      <c r="B2310" s="102">
        <v>7860.75</v>
      </c>
    </row>
    <row r="2311" spans="1:2" x14ac:dyDescent="0.3">
      <c r="A2311" s="101">
        <v>42503</v>
      </c>
      <c r="B2311" s="102">
        <v>7814.9</v>
      </c>
    </row>
    <row r="2312" spans="1:2" x14ac:dyDescent="0.3">
      <c r="A2312" s="101">
        <v>42502</v>
      </c>
      <c r="B2312" s="102">
        <v>7900.4</v>
      </c>
    </row>
    <row r="2313" spans="1:2" x14ac:dyDescent="0.3">
      <c r="A2313" s="101">
        <v>42501</v>
      </c>
      <c r="B2313" s="102">
        <v>7848.85</v>
      </c>
    </row>
    <row r="2314" spans="1:2" x14ac:dyDescent="0.3">
      <c r="A2314" s="101">
        <v>42500</v>
      </c>
      <c r="B2314" s="102">
        <v>7887.8</v>
      </c>
    </row>
    <row r="2315" spans="1:2" x14ac:dyDescent="0.3">
      <c r="A2315" s="101">
        <v>42499</v>
      </c>
      <c r="B2315" s="102">
        <v>7866.05</v>
      </c>
    </row>
    <row r="2316" spans="1:2" x14ac:dyDescent="0.3">
      <c r="A2316" s="101">
        <v>42496</v>
      </c>
      <c r="B2316" s="102">
        <v>7733.45</v>
      </c>
    </row>
    <row r="2317" spans="1:2" x14ac:dyDescent="0.3">
      <c r="A2317" s="101">
        <v>42495</v>
      </c>
      <c r="B2317" s="102">
        <v>7735.5</v>
      </c>
    </row>
    <row r="2318" spans="1:2" x14ac:dyDescent="0.3">
      <c r="A2318" s="101">
        <v>42494</v>
      </c>
      <c r="B2318" s="102">
        <v>7706.55</v>
      </c>
    </row>
    <row r="2319" spans="1:2" x14ac:dyDescent="0.3">
      <c r="A2319" s="101">
        <v>42493</v>
      </c>
      <c r="B2319" s="102">
        <v>7747</v>
      </c>
    </row>
    <row r="2320" spans="1:2" x14ac:dyDescent="0.3">
      <c r="A2320" s="101">
        <v>42492</v>
      </c>
      <c r="B2320" s="102">
        <v>7805.9</v>
      </c>
    </row>
    <row r="2321" spans="1:2" x14ac:dyDescent="0.3">
      <c r="A2321" s="101">
        <v>42489</v>
      </c>
      <c r="B2321" s="102">
        <v>7849.8</v>
      </c>
    </row>
    <row r="2322" spans="1:2" x14ac:dyDescent="0.3">
      <c r="A2322" s="101">
        <v>42488</v>
      </c>
      <c r="B2322" s="102">
        <v>7847.25</v>
      </c>
    </row>
    <row r="2323" spans="1:2" x14ac:dyDescent="0.3">
      <c r="A2323" s="101">
        <v>42487</v>
      </c>
      <c r="B2323" s="102">
        <v>7979.9</v>
      </c>
    </row>
    <row r="2324" spans="1:2" x14ac:dyDescent="0.3">
      <c r="A2324" s="101">
        <v>42486</v>
      </c>
      <c r="B2324" s="102">
        <v>7962.65</v>
      </c>
    </row>
    <row r="2325" spans="1:2" x14ac:dyDescent="0.3">
      <c r="A2325" s="101">
        <v>42485</v>
      </c>
      <c r="B2325" s="102">
        <v>7855.05</v>
      </c>
    </row>
    <row r="2326" spans="1:2" x14ac:dyDescent="0.3">
      <c r="A2326" s="101">
        <v>42482</v>
      </c>
      <c r="B2326" s="102">
        <v>7899.3</v>
      </c>
    </row>
    <row r="2327" spans="1:2" x14ac:dyDescent="0.3">
      <c r="A2327" s="101">
        <v>42481</v>
      </c>
      <c r="B2327" s="102">
        <v>7912.05</v>
      </c>
    </row>
    <row r="2328" spans="1:2" x14ac:dyDescent="0.3">
      <c r="A2328" s="101">
        <v>42480</v>
      </c>
      <c r="B2328" s="102">
        <v>7914.75</v>
      </c>
    </row>
    <row r="2329" spans="1:2" x14ac:dyDescent="0.3">
      <c r="A2329" s="101">
        <v>42478</v>
      </c>
      <c r="B2329" s="102">
        <v>7914.7</v>
      </c>
    </row>
    <row r="2330" spans="1:2" x14ac:dyDescent="0.3">
      <c r="A2330" s="101">
        <v>42473</v>
      </c>
      <c r="B2330" s="102">
        <v>7850.45</v>
      </c>
    </row>
    <row r="2331" spans="1:2" x14ac:dyDescent="0.3">
      <c r="A2331" s="101">
        <v>42472</v>
      </c>
      <c r="B2331" s="102">
        <v>7708.95</v>
      </c>
    </row>
    <row r="2332" spans="1:2" x14ac:dyDescent="0.3">
      <c r="A2332" s="101">
        <v>42471</v>
      </c>
      <c r="B2332" s="102">
        <v>7671.4</v>
      </c>
    </row>
    <row r="2333" spans="1:2" x14ac:dyDescent="0.3">
      <c r="A2333" s="101">
        <v>42468</v>
      </c>
      <c r="B2333" s="102">
        <v>7555.2</v>
      </c>
    </row>
    <row r="2334" spans="1:2" x14ac:dyDescent="0.3">
      <c r="A2334" s="101">
        <v>42467</v>
      </c>
      <c r="B2334" s="102">
        <v>7546.45</v>
      </c>
    </row>
    <row r="2335" spans="1:2" x14ac:dyDescent="0.3">
      <c r="A2335" s="101">
        <v>42466</v>
      </c>
      <c r="B2335" s="102">
        <v>7614.35</v>
      </c>
    </row>
    <row r="2336" spans="1:2" x14ac:dyDescent="0.3">
      <c r="A2336" s="101">
        <v>42465</v>
      </c>
      <c r="B2336" s="102">
        <v>7603.2</v>
      </c>
    </row>
    <row r="2337" spans="1:2" x14ac:dyDescent="0.3">
      <c r="A2337" s="101">
        <v>42464</v>
      </c>
      <c r="B2337" s="102">
        <v>7758.8</v>
      </c>
    </row>
    <row r="2338" spans="1:2" x14ac:dyDescent="0.3">
      <c r="A2338" s="101">
        <v>42461</v>
      </c>
      <c r="B2338" s="102">
        <v>7713.05</v>
      </c>
    </row>
    <row r="2339" spans="1:2" x14ac:dyDescent="0.3">
      <c r="A2339" s="101">
        <v>42460</v>
      </c>
      <c r="B2339" s="102">
        <v>7738.4</v>
      </c>
    </row>
    <row r="2340" spans="1:2" x14ac:dyDescent="0.3">
      <c r="A2340" s="101">
        <v>42459</v>
      </c>
      <c r="B2340" s="102">
        <v>7735.2</v>
      </c>
    </row>
    <row r="2341" spans="1:2" x14ac:dyDescent="0.3">
      <c r="A2341" s="101">
        <v>42458</v>
      </c>
      <c r="B2341" s="102">
        <v>7597</v>
      </c>
    </row>
    <row r="2342" spans="1:2" x14ac:dyDescent="0.3">
      <c r="A2342" s="101">
        <v>42457</v>
      </c>
      <c r="B2342" s="102">
        <v>7615.1</v>
      </c>
    </row>
    <row r="2343" spans="1:2" x14ac:dyDescent="0.3">
      <c r="A2343" s="101">
        <v>42452</v>
      </c>
      <c r="B2343" s="102">
        <v>7716.5</v>
      </c>
    </row>
    <row r="2344" spans="1:2" x14ac:dyDescent="0.3">
      <c r="A2344" s="101">
        <v>42451</v>
      </c>
      <c r="B2344" s="102">
        <v>7714.9</v>
      </c>
    </row>
    <row r="2345" spans="1:2" x14ac:dyDescent="0.3">
      <c r="A2345" s="101">
        <v>42450</v>
      </c>
      <c r="B2345" s="102">
        <v>7704.25</v>
      </c>
    </row>
    <row r="2346" spans="1:2" x14ac:dyDescent="0.3">
      <c r="A2346" s="101">
        <v>42447</v>
      </c>
      <c r="B2346" s="102">
        <v>7604.35</v>
      </c>
    </row>
    <row r="2347" spans="1:2" x14ac:dyDescent="0.3">
      <c r="A2347" s="101">
        <v>42446</v>
      </c>
      <c r="B2347" s="102">
        <v>7512.55</v>
      </c>
    </row>
    <row r="2348" spans="1:2" x14ac:dyDescent="0.3">
      <c r="A2348" s="101">
        <v>42445</v>
      </c>
      <c r="B2348" s="102">
        <v>7498.75</v>
      </c>
    </row>
    <row r="2349" spans="1:2" x14ac:dyDescent="0.3">
      <c r="A2349" s="101">
        <v>42444</v>
      </c>
      <c r="B2349" s="102">
        <v>7460.6</v>
      </c>
    </row>
    <row r="2350" spans="1:2" x14ac:dyDescent="0.3">
      <c r="A2350" s="101">
        <v>42443</v>
      </c>
      <c r="B2350" s="102">
        <v>7538.75</v>
      </c>
    </row>
    <row r="2351" spans="1:2" x14ac:dyDescent="0.3">
      <c r="A2351" s="101">
        <v>42440</v>
      </c>
      <c r="B2351" s="102">
        <v>7510.2</v>
      </c>
    </row>
    <row r="2352" spans="1:2" x14ac:dyDescent="0.3">
      <c r="A2352" s="101">
        <v>42439</v>
      </c>
      <c r="B2352" s="102">
        <v>7486.15</v>
      </c>
    </row>
    <row r="2353" spans="1:2" x14ac:dyDescent="0.3">
      <c r="A2353" s="101">
        <v>42438</v>
      </c>
      <c r="B2353" s="102">
        <v>7531.8</v>
      </c>
    </row>
    <row r="2354" spans="1:2" x14ac:dyDescent="0.3">
      <c r="A2354" s="101">
        <v>42437</v>
      </c>
      <c r="B2354" s="102">
        <v>7485.3</v>
      </c>
    </row>
    <row r="2355" spans="1:2" x14ac:dyDescent="0.3">
      <c r="A2355" s="101">
        <v>42433</v>
      </c>
      <c r="B2355" s="102">
        <v>7485.35</v>
      </c>
    </row>
    <row r="2356" spans="1:2" x14ac:dyDescent="0.3">
      <c r="A2356" s="101">
        <v>42432</v>
      </c>
      <c r="B2356" s="102">
        <v>7475.6</v>
      </c>
    </row>
    <row r="2357" spans="1:2" x14ac:dyDescent="0.3">
      <c r="A2357" s="101">
        <v>42431</v>
      </c>
      <c r="B2357" s="102">
        <v>7368.85</v>
      </c>
    </row>
    <row r="2358" spans="1:2" x14ac:dyDescent="0.3">
      <c r="A2358" s="101">
        <v>42430</v>
      </c>
      <c r="B2358" s="102">
        <v>7222.3</v>
      </c>
    </row>
    <row r="2359" spans="1:2" x14ac:dyDescent="0.3">
      <c r="A2359" s="101">
        <v>42429</v>
      </c>
      <c r="B2359" s="102">
        <v>6987.05</v>
      </c>
    </row>
    <row r="2360" spans="1:2" x14ac:dyDescent="0.3">
      <c r="A2360" s="101">
        <v>42426</v>
      </c>
      <c r="B2360" s="102">
        <v>7029.75</v>
      </c>
    </row>
    <row r="2361" spans="1:2" x14ac:dyDescent="0.3">
      <c r="A2361" s="101">
        <v>42425</v>
      </c>
      <c r="B2361" s="102">
        <v>6970.6</v>
      </c>
    </row>
    <row r="2362" spans="1:2" x14ac:dyDescent="0.3">
      <c r="A2362" s="101">
        <v>42424</v>
      </c>
      <c r="B2362" s="102">
        <v>7018.7</v>
      </c>
    </row>
    <row r="2363" spans="1:2" x14ac:dyDescent="0.3">
      <c r="A2363" s="101">
        <v>42423</v>
      </c>
      <c r="B2363" s="102">
        <v>7109.55</v>
      </c>
    </row>
    <row r="2364" spans="1:2" x14ac:dyDescent="0.3">
      <c r="A2364" s="101">
        <v>42422</v>
      </c>
      <c r="B2364" s="102">
        <v>7234.55</v>
      </c>
    </row>
    <row r="2365" spans="1:2" x14ac:dyDescent="0.3">
      <c r="A2365" s="101">
        <v>42419</v>
      </c>
      <c r="B2365" s="102">
        <v>7210.75</v>
      </c>
    </row>
    <row r="2366" spans="1:2" x14ac:dyDescent="0.3">
      <c r="A2366" s="101">
        <v>42418</v>
      </c>
      <c r="B2366" s="102">
        <v>7191.75</v>
      </c>
    </row>
    <row r="2367" spans="1:2" x14ac:dyDescent="0.3">
      <c r="A2367" s="101">
        <v>42417</v>
      </c>
      <c r="B2367" s="102">
        <v>7108.45</v>
      </c>
    </row>
    <row r="2368" spans="1:2" x14ac:dyDescent="0.3">
      <c r="A2368" s="101">
        <v>42416</v>
      </c>
      <c r="B2368" s="102">
        <v>7048.25</v>
      </c>
    </row>
    <row r="2369" spans="1:2" x14ac:dyDescent="0.3">
      <c r="A2369" s="101">
        <v>42415</v>
      </c>
      <c r="B2369" s="102">
        <v>7162.95</v>
      </c>
    </row>
    <row r="2370" spans="1:2" x14ac:dyDescent="0.3">
      <c r="A2370" s="101">
        <v>42412</v>
      </c>
      <c r="B2370" s="102">
        <v>6980.95</v>
      </c>
    </row>
    <row r="2371" spans="1:2" x14ac:dyDescent="0.3">
      <c r="A2371" s="101">
        <v>42411</v>
      </c>
      <c r="B2371" s="102">
        <v>6976.35</v>
      </c>
    </row>
    <row r="2372" spans="1:2" x14ac:dyDescent="0.3">
      <c r="A2372" s="101">
        <v>42410</v>
      </c>
      <c r="B2372" s="102">
        <v>7215.7</v>
      </c>
    </row>
    <row r="2373" spans="1:2" x14ac:dyDescent="0.3">
      <c r="A2373" s="101">
        <v>42409</v>
      </c>
      <c r="B2373" s="102">
        <v>7298.2</v>
      </c>
    </row>
    <row r="2374" spans="1:2" x14ac:dyDescent="0.3">
      <c r="A2374" s="101">
        <v>42408</v>
      </c>
      <c r="B2374" s="102">
        <v>7387.25</v>
      </c>
    </row>
    <row r="2375" spans="1:2" x14ac:dyDescent="0.3">
      <c r="A2375" s="101">
        <v>42405</v>
      </c>
      <c r="B2375" s="102">
        <v>7489.1</v>
      </c>
    </row>
    <row r="2376" spans="1:2" x14ac:dyDescent="0.3">
      <c r="A2376" s="101">
        <v>42404</v>
      </c>
      <c r="B2376" s="102">
        <v>7404</v>
      </c>
    </row>
    <row r="2377" spans="1:2" x14ac:dyDescent="0.3">
      <c r="A2377" s="101">
        <v>42403</v>
      </c>
      <c r="B2377" s="102">
        <v>7361.8</v>
      </c>
    </row>
    <row r="2378" spans="1:2" x14ac:dyDescent="0.3">
      <c r="A2378" s="101">
        <v>42402</v>
      </c>
      <c r="B2378" s="102">
        <v>7455.55</v>
      </c>
    </row>
    <row r="2379" spans="1:2" x14ac:dyDescent="0.3">
      <c r="A2379" s="101">
        <v>42401</v>
      </c>
      <c r="B2379" s="102">
        <v>7555.95</v>
      </c>
    </row>
    <row r="2380" spans="1:2" x14ac:dyDescent="0.3">
      <c r="A2380" s="101">
        <v>42398</v>
      </c>
      <c r="B2380" s="102">
        <v>7563.55</v>
      </c>
    </row>
    <row r="2381" spans="1:2" x14ac:dyDescent="0.3">
      <c r="A2381" s="101">
        <v>42397</v>
      </c>
      <c r="B2381" s="102">
        <v>7424.65</v>
      </c>
    </row>
    <row r="2382" spans="1:2" x14ac:dyDescent="0.3">
      <c r="A2382" s="101">
        <v>42396</v>
      </c>
      <c r="B2382" s="102">
        <v>7437.75</v>
      </c>
    </row>
    <row r="2383" spans="1:2" x14ac:dyDescent="0.3">
      <c r="A2383" s="101">
        <v>42394</v>
      </c>
      <c r="B2383" s="102">
        <v>7436.15</v>
      </c>
    </row>
    <row r="2384" spans="1:2" x14ac:dyDescent="0.3">
      <c r="A2384" s="101">
        <v>42391</v>
      </c>
      <c r="B2384" s="102">
        <v>7422.45</v>
      </c>
    </row>
    <row r="2385" spans="1:2" x14ac:dyDescent="0.3">
      <c r="A2385" s="101">
        <v>42390</v>
      </c>
      <c r="B2385" s="102">
        <v>7276.8</v>
      </c>
    </row>
    <row r="2386" spans="1:2" x14ac:dyDescent="0.3">
      <c r="A2386" s="101">
        <v>42389</v>
      </c>
      <c r="B2386" s="102">
        <v>7309.3</v>
      </c>
    </row>
    <row r="2387" spans="1:2" x14ac:dyDescent="0.3">
      <c r="A2387" s="101">
        <v>42388</v>
      </c>
      <c r="B2387" s="102">
        <v>7435.1</v>
      </c>
    </row>
    <row r="2388" spans="1:2" x14ac:dyDescent="0.3">
      <c r="A2388" s="101">
        <v>42387</v>
      </c>
      <c r="B2388" s="102">
        <v>7351</v>
      </c>
    </row>
    <row r="2389" spans="1:2" x14ac:dyDescent="0.3">
      <c r="A2389" s="101">
        <v>42384</v>
      </c>
      <c r="B2389" s="102">
        <v>7437.8</v>
      </c>
    </row>
    <row r="2390" spans="1:2" x14ac:dyDescent="0.3">
      <c r="A2390" s="101">
        <v>42383</v>
      </c>
      <c r="B2390" s="102">
        <v>7536.8</v>
      </c>
    </row>
    <row r="2391" spans="1:2" x14ac:dyDescent="0.3">
      <c r="A2391" s="101">
        <v>42382</v>
      </c>
      <c r="B2391" s="102">
        <v>7562.4</v>
      </c>
    </row>
    <row r="2392" spans="1:2" x14ac:dyDescent="0.3">
      <c r="A2392" s="101">
        <v>42381</v>
      </c>
      <c r="B2392" s="102">
        <v>7510.3</v>
      </c>
    </row>
    <row r="2393" spans="1:2" x14ac:dyDescent="0.3">
      <c r="A2393" s="101">
        <v>42380</v>
      </c>
      <c r="B2393" s="102">
        <v>7563.85</v>
      </c>
    </row>
    <row r="2394" spans="1:2" x14ac:dyDescent="0.3">
      <c r="A2394" s="101">
        <v>42377</v>
      </c>
      <c r="B2394" s="102">
        <v>7601.35</v>
      </c>
    </row>
    <row r="2395" spans="1:2" x14ac:dyDescent="0.3">
      <c r="A2395" s="101">
        <v>42376</v>
      </c>
      <c r="B2395" s="102">
        <v>7568.3</v>
      </c>
    </row>
    <row r="2396" spans="1:2" x14ac:dyDescent="0.3">
      <c r="A2396" s="101">
        <v>42375</v>
      </c>
      <c r="B2396" s="102">
        <v>7741</v>
      </c>
    </row>
    <row r="2397" spans="1:2" x14ac:dyDescent="0.3">
      <c r="A2397" s="101">
        <v>42374</v>
      </c>
      <c r="B2397" s="102">
        <v>7784.65</v>
      </c>
    </row>
    <row r="2398" spans="1:2" x14ac:dyDescent="0.3">
      <c r="A2398" s="101">
        <v>42373</v>
      </c>
      <c r="B2398" s="102">
        <v>7791.3</v>
      </c>
    </row>
    <row r="2399" spans="1:2" x14ac:dyDescent="0.3">
      <c r="A2399" s="101">
        <v>42370</v>
      </c>
      <c r="B2399" s="102">
        <v>7963.2</v>
      </c>
    </row>
    <row r="2400" spans="1:2" x14ac:dyDescent="0.3">
      <c r="A2400" s="101">
        <v>42369</v>
      </c>
      <c r="B2400" s="102">
        <v>7946.35</v>
      </c>
    </row>
    <row r="2401" spans="1:2" x14ac:dyDescent="0.3">
      <c r="A2401" s="101">
        <v>42368</v>
      </c>
      <c r="B2401" s="102">
        <v>7896.25</v>
      </c>
    </row>
    <row r="2402" spans="1:2" x14ac:dyDescent="0.3">
      <c r="A2402" s="101">
        <v>42367</v>
      </c>
      <c r="B2402" s="102">
        <v>7928.95</v>
      </c>
    </row>
    <row r="2403" spans="1:2" x14ac:dyDescent="0.3">
      <c r="A2403" s="101">
        <v>42366</v>
      </c>
      <c r="B2403" s="102">
        <v>7925.15</v>
      </c>
    </row>
    <row r="2404" spans="1:2" x14ac:dyDescent="0.3">
      <c r="A2404" s="101">
        <v>42362</v>
      </c>
      <c r="B2404" s="102">
        <v>7861.05</v>
      </c>
    </row>
    <row r="2405" spans="1:2" x14ac:dyDescent="0.3">
      <c r="A2405" s="101">
        <v>42361</v>
      </c>
      <c r="B2405" s="102">
        <v>7865.95</v>
      </c>
    </row>
    <row r="2406" spans="1:2" x14ac:dyDescent="0.3">
      <c r="A2406" s="101">
        <v>42360</v>
      </c>
      <c r="B2406" s="102">
        <v>7786.1</v>
      </c>
    </row>
    <row r="2407" spans="1:2" x14ac:dyDescent="0.3">
      <c r="A2407" s="101">
        <v>42359</v>
      </c>
      <c r="B2407" s="102">
        <v>7834.45</v>
      </c>
    </row>
    <row r="2408" spans="1:2" x14ac:dyDescent="0.3">
      <c r="A2408" s="101">
        <v>42356</v>
      </c>
      <c r="B2408" s="102">
        <v>7761.95</v>
      </c>
    </row>
    <row r="2409" spans="1:2" x14ac:dyDescent="0.3">
      <c r="A2409" s="101">
        <v>42355</v>
      </c>
      <c r="B2409" s="102">
        <v>7844.35</v>
      </c>
    </row>
    <row r="2410" spans="1:2" x14ac:dyDescent="0.3">
      <c r="A2410" s="101">
        <v>42354</v>
      </c>
      <c r="B2410" s="102">
        <v>7750.9</v>
      </c>
    </row>
    <row r="2411" spans="1:2" x14ac:dyDescent="0.3">
      <c r="A2411" s="101">
        <v>42353</v>
      </c>
      <c r="B2411" s="102">
        <v>7700.9</v>
      </c>
    </row>
    <row r="2412" spans="1:2" x14ac:dyDescent="0.3">
      <c r="A2412" s="101">
        <v>42352</v>
      </c>
      <c r="B2412" s="102">
        <v>7650.05</v>
      </c>
    </row>
    <row r="2413" spans="1:2" x14ac:dyDescent="0.3">
      <c r="A2413" s="101">
        <v>42349</v>
      </c>
      <c r="B2413" s="102">
        <v>7610.45</v>
      </c>
    </row>
    <row r="2414" spans="1:2" x14ac:dyDescent="0.3">
      <c r="A2414" s="101">
        <v>42348</v>
      </c>
      <c r="B2414" s="102">
        <v>7683.3</v>
      </c>
    </row>
    <row r="2415" spans="1:2" x14ac:dyDescent="0.3">
      <c r="A2415" s="101">
        <v>42347</v>
      </c>
      <c r="B2415" s="102">
        <v>7612.5</v>
      </c>
    </row>
    <row r="2416" spans="1:2" x14ac:dyDescent="0.3">
      <c r="A2416" s="101">
        <v>42346</v>
      </c>
      <c r="B2416" s="102">
        <v>7701.7</v>
      </c>
    </row>
    <row r="2417" spans="1:2" x14ac:dyDescent="0.3">
      <c r="A2417" s="101">
        <v>42345</v>
      </c>
      <c r="B2417" s="102">
        <v>7765.4</v>
      </c>
    </row>
    <row r="2418" spans="1:2" x14ac:dyDescent="0.3">
      <c r="A2418" s="101">
        <v>42342</v>
      </c>
      <c r="B2418" s="102">
        <v>7781.9</v>
      </c>
    </row>
    <row r="2419" spans="1:2" x14ac:dyDescent="0.3">
      <c r="A2419" s="101">
        <v>42341</v>
      </c>
      <c r="B2419" s="102">
        <v>7864.15</v>
      </c>
    </row>
    <row r="2420" spans="1:2" x14ac:dyDescent="0.3">
      <c r="A2420" s="101">
        <v>42340</v>
      </c>
      <c r="B2420" s="102">
        <v>7931.35</v>
      </c>
    </row>
    <row r="2421" spans="1:2" x14ac:dyDescent="0.3">
      <c r="A2421" s="101">
        <v>42339</v>
      </c>
      <c r="B2421" s="102">
        <v>7954.9</v>
      </c>
    </row>
    <row r="2422" spans="1:2" x14ac:dyDescent="0.3">
      <c r="A2422" s="101">
        <v>42338</v>
      </c>
      <c r="B2422" s="102">
        <v>7935.25</v>
      </c>
    </row>
    <row r="2423" spans="1:2" x14ac:dyDescent="0.3">
      <c r="A2423" s="101">
        <v>42335</v>
      </c>
      <c r="B2423" s="102">
        <v>7942.7</v>
      </c>
    </row>
    <row r="2424" spans="1:2" x14ac:dyDescent="0.3">
      <c r="A2424" s="101">
        <v>42334</v>
      </c>
      <c r="B2424" s="102">
        <v>7883.8</v>
      </c>
    </row>
    <row r="2425" spans="1:2" x14ac:dyDescent="0.3">
      <c r="A2425" s="101">
        <v>42332</v>
      </c>
      <c r="B2425" s="102">
        <v>7831.6</v>
      </c>
    </row>
    <row r="2426" spans="1:2" x14ac:dyDescent="0.3">
      <c r="A2426" s="101">
        <v>42331</v>
      </c>
      <c r="B2426" s="102">
        <v>7849.25</v>
      </c>
    </row>
    <row r="2427" spans="1:2" x14ac:dyDescent="0.3">
      <c r="A2427" s="101">
        <v>42328</v>
      </c>
      <c r="B2427" s="102">
        <v>7856.55</v>
      </c>
    </row>
    <row r="2428" spans="1:2" x14ac:dyDescent="0.3">
      <c r="A2428" s="101">
        <v>42327</v>
      </c>
      <c r="B2428" s="102">
        <v>7842.75</v>
      </c>
    </row>
    <row r="2429" spans="1:2" x14ac:dyDescent="0.3">
      <c r="A2429" s="101">
        <v>42326</v>
      </c>
      <c r="B2429" s="102">
        <v>7731.8</v>
      </c>
    </row>
    <row r="2430" spans="1:2" x14ac:dyDescent="0.3">
      <c r="A2430" s="101">
        <v>42325</v>
      </c>
      <c r="B2430" s="102">
        <v>7837.55</v>
      </c>
    </row>
    <row r="2431" spans="1:2" x14ac:dyDescent="0.3">
      <c r="A2431" s="101">
        <v>42324</v>
      </c>
      <c r="B2431" s="102">
        <v>7806.6</v>
      </c>
    </row>
    <row r="2432" spans="1:2" x14ac:dyDescent="0.3">
      <c r="A2432" s="101">
        <v>42321</v>
      </c>
      <c r="B2432" s="102">
        <v>7762.25</v>
      </c>
    </row>
    <row r="2433" spans="1:2" x14ac:dyDescent="0.3">
      <c r="A2433" s="101">
        <v>42319</v>
      </c>
      <c r="B2433" s="102">
        <v>7825</v>
      </c>
    </row>
    <row r="2434" spans="1:2" x14ac:dyDescent="0.3">
      <c r="A2434" s="101">
        <v>42318</v>
      </c>
      <c r="B2434" s="102">
        <v>7783.35</v>
      </c>
    </row>
    <row r="2435" spans="1:2" x14ac:dyDescent="0.3">
      <c r="A2435" s="101">
        <v>42317</v>
      </c>
      <c r="B2435" s="102">
        <v>7915.2</v>
      </c>
    </row>
    <row r="2436" spans="1:2" x14ac:dyDescent="0.3">
      <c r="A2436" s="101">
        <v>42314</v>
      </c>
      <c r="B2436" s="102">
        <v>7954.3</v>
      </c>
    </row>
    <row r="2437" spans="1:2" x14ac:dyDescent="0.3">
      <c r="A2437" s="101">
        <v>42313</v>
      </c>
      <c r="B2437" s="102">
        <v>7955.45</v>
      </c>
    </row>
    <row r="2438" spans="1:2" x14ac:dyDescent="0.3">
      <c r="A2438" s="101">
        <v>42312</v>
      </c>
      <c r="B2438" s="102">
        <v>8040.2</v>
      </c>
    </row>
    <row r="2439" spans="1:2" x14ac:dyDescent="0.3">
      <c r="A2439" s="101">
        <v>42311</v>
      </c>
      <c r="B2439" s="102">
        <v>8060.7</v>
      </c>
    </row>
    <row r="2440" spans="1:2" x14ac:dyDescent="0.3">
      <c r="A2440" s="101">
        <v>42310</v>
      </c>
      <c r="B2440" s="102">
        <v>8050.8</v>
      </c>
    </row>
    <row r="2441" spans="1:2" x14ac:dyDescent="0.3">
      <c r="A2441" s="101">
        <v>42307</v>
      </c>
      <c r="B2441" s="102">
        <v>8065.8</v>
      </c>
    </row>
    <row r="2442" spans="1:2" x14ac:dyDescent="0.3">
      <c r="A2442" s="101">
        <v>42306</v>
      </c>
      <c r="B2442" s="102">
        <v>8111.75</v>
      </c>
    </row>
    <row r="2443" spans="1:2" x14ac:dyDescent="0.3">
      <c r="A2443" s="101">
        <v>42305</v>
      </c>
      <c r="B2443" s="102">
        <v>8171.2</v>
      </c>
    </row>
    <row r="2444" spans="1:2" x14ac:dyDescent="0.3">
      <c r="A2444" s="101">
        <v>42304</v>
      </c>
      <c r="B2444" s="102">
        <v>8232.9</v>
      </c>
    </row>
    <row r="2445" spans="1:2" x14ac:dyDescent="0.3">
      <c r="A2445" s="101">
        <v>42303</v>
      </c>
      <c r="B2445" s="102">
        <v>8260.5499999999993</v>
      </c>
    </row>
    <row r="2446" spans="1:2" x14ac:dyDescent="0.3">
      <c r="A2446" s="101">
        <v>42300</v>
      </c>
      <c r="B2446" s="102">
        <v>8295.4500000000007</v>
      </c>
    </row>
    <row r="2447" spans="1:2" x14ac:dyDescent="0.3">
      <c r="A2447" s="101">
        <v>42298</v>
      </c>
      <c r="B2447" s="102">
        <v>8251.7000000000007</v>
      </c>
    </row>
    <row r="2448" spans="1:2" x14ac:dyDescent="0.3">
      <c r="A2448" s="101">
        <v>42297</v>
      </c>
      <c r="B2448" s="102">
        <v>8261.65</v>
      </c>
    </row>
    <row r="2449" spans="1:2" x14ac:dyDescent="0.3">
      <c r="A2449" s="101">
        <v>42296</v>
      </c>
      <c r="B2449" s="102">
        <v>8275.0499999999993</v>
      </c>
    </row>
    <row r="2450" spans="1:2" x14ac:dyDescent="0.3">
      <c r="A2450" s="101">
        <v>42293</v>
      </c>
      <c r="B2450" s="102">
        <v>8238.15</v>
      </c>
    </row>
    <row r="2451" spans="1:2" x14ac:dyDescent="0.3">
      <c r="A2451" s="101">
        <v>42292</v>
      </c>
      <c r="B2451" s="102">
        <v>8179.5</v>
      </c>
    </row>
    <row r="2452" spans="1:2" x14ac:dyDescent="0.3">
      <c r="A2452" s="101">
        <v>42291</v>
      </c>
      <c r="B2452" s="102">
        <v>8107.9</v>
      </c>
    </row>
    <row r="2453" spans="1:2" x14ac:dyDescent="0.3">
      <c r="A2453" s="101">
        <v>42290</v>
      </c>
      <c r="B2453" s="102">
        <v>8131.7</v>
      </c>
    </row>
    <row r="2454" spans="1:2" x14ac:dyDescent="0.3">
      <c r="A2454" s="101">
        <v>42289</v>
      </c>
      <c r="B2454" s="102">
        <v>8143.6</v>
      </c>
    </row>
    <row r="2455" spans="1:2" x14ac:dyDescent="0.3">
      <c r="A2455" s="101">
        <v>42286</v>
      </c>
      <c r="B2455" s="102">
        <v>8189.7</v>
      </c>
    </row>
    <row r="2456" spans="1:2" x14ac:dyDescent="0.3">
      <c r="A2456" s="101">
        <v>42285</v>
      </c>
      <c r="B2456" s="102">
        <v>8129.35</v>
      </c>
    </row>
    <row r="2457" spans="1:2" x14ac:dyDescent="0.3">
      <c r="A2457" s="101">
        <v>42284</v>
      </c>
      <c r="B2457" s="102">
        <v>8177.4</v>
      </c>
    </row>
    <row r="2458" spans="1:2" x14ac:dyDescent="0.3">
      <c r="A2458" s="101">
        <v>42283</v>
      </c>
      <c r="B2458" s="102">
        <v>8152.9</v>
      </c>
    </row>
    <row r="2459" spans="1:2" x14ac:dyDescent="0.3">
      <c r="A2459" s="101">
        <v>42282</v>
      </c>
      <c r="B2459" s="102">
        <v>8119.3</v>
      </c>
    </row>
    <row r="2460" spans="1:2" x14ac:dyDescent="0.3">
      <c r="A2460" s="101">
        <v>42278</v>
      </c>
      <c r="B2460" s="102">
        <v>7950.9</v>
      </c>
    </row>
    <row r="2461" spans="1:2" x14ac:dyDescent="0.3">
      <c r="A2461" s="101">
        <v>42277</v>
      </c>
      <c r="B2461" s="102">
        <v>7948.9</v>
      </c>
    </row>
    <row r="2462" spans="1:2" x14ac:dyDescent="0.3">
      <c r="A2462" s="101">
        <v>42276</v>
      </c>
      <c r="B2462" s="102">
        <v>7843.3</v>
      </c>
    </row>
    <row r="2463" spans="1:2" x14ac:dyDescent="0.3">
      <c r="A2463" s="101">
        <v>42275</v>
      </c>
      <c r="B2463" s="102">
        <v>7795.7</v>
      </c>
    </row>
    <row r="2464" spans="1:2" x14ac:dyDescent="0.3">
      <c r="A2464" s="101">
        <v>42271</v>
      </c>
      <c r="B2464" s="102">
        <v>7868.5</v>
      </c>
    </row>
    <row r="2465" spans="1:2" x14ac:dyDescent="0.3">
      <c r="A2465" s="101">
        <v>42270</v>
      </c>
      <c r="B2465" s="102">
        <v>7845.95</v>
      </c>
    </row>
    <row r="2466" spans="1:2" x14ac:dyDescent="0.3">
      <c r="A2466" s="101">
        <v>42269</v>
      </c>
      <c r="B2466" s="102">
        <v>7812</v>
      </c>
    </row>
    <row r="2467" spans="1:2" x14ac:dyDescent="0.3">
      <c r="A2467" s="101">
        <v>42268</v>
      </c>
      <c r="B2467" s="102">
        <v>7977.1</v>
      </c>
    </row>
    <row r="2468" spans="1:2" x14ac:dyDescent="0.3">
      <c r="A2468" s="101">
        <v>42265</v>
      </c>
      <c r="B2468" s="102">
        <v>7981.9</v>
      </c>
    </row>
    <row r="2469" spans="1:2" x14ac:dyDescent="0.3">
      <c r="A2469" s="101">
        <v>42263</v>
      </c>
      <c r="B2469" s="102">
        <v>7899.15</v>
      </c>
    </row>
    <row r="2470" spans="1:2" x14ac:dyDescent="0.3">
      <c r="A2470" s="101">
        <v>42262</v>
      </c>
      <c r="B2470" s="102">
        <v>7829.1</v>
      </c>
    </row>
    <row r="2471" spans="1:2" x14ac:dyDescent="0.3">
      <c r="A2471" s="101">
        <v>42261</v>
      </c>
      <c r="B2471" s="102">
        <v>7872.25</v>
      </c>
    </row>
    <row r="2472" spans="1:2" x14ac:dyDescent="0.3">
      <c r="A2472" s="101">
        <v>42258</v>
      </c>
      <c r="B2472" s="102">
        <v>7789.3</v>
      </c>
    </row>
    <row r="2473" spans="1:2" x14ac:dyDescent="0.3">
      <c r="A2473" s="101">
        <v>42257</v>
      </c>
      <c r="B2473" s="102">
        <v>7788.1</v>
      </c>
    </row>
    <row r="2474" spans="1:2" x14ac:dyDescent="0.3">
      <c r="A2474" s="101">
        <v>42256</v>
      </c>
      <c r="B2474" s="102">
        <v>7818.6</v>
      </c>
    </row>
    <row r="2475" spans="1:2" x14ac:dyDescent="0.3">
      <c r="A2475" s="101">
        <v>42255</v>
      </c>
      <c r="B2475" s="102">
        <v>7688.25</v>
      </c>
    </row>
    <row r="2476" spans="1:2" x14ac:dyDescent="0.3">
      <c r="A2476" s="101">
        <v>42254</v>
      </c>
      <c r="B2476" s="102">
        <v>7558.8</v>
      </c>
    </row>
    <row r="2477" spans="1:2" x14ac:dyDescent="0.3">
      <c r="A2477" s="101">
        <v>42251</v>
      </c>
      <c r="B2477" s="102">
        <v>7655.05</v>
      </c>
    </row>
    <row r="2478" spans="1:2" x14ac:dyDescent="0.3">
      <c r="A2478" s="101">
        <v>42250</v>
      </c>
      <c r="B2478" s="102">
        <v>7823</v>
      </c>
    </row>
    <row r="2479" spans="1:2" x14ac:dyDescent="0.3">
      <c r="A2479" s="101">
        <v>42249</v>
      </c>
      <c r="B2479" s="102">
        <v>7717</v>
      </c>
    </row>
    <row r="2480" spans="1:2" x14ac:dyDescent="0.3">
      <c r="A2480" s="101">
        <v>42248</v>
      </c>
      <c r="B2480" s="102">
        <v>7785.85</v>
      </c>
    </row>
    <row r="2481" spans="1:2" x14ac:dyDescent="0.3">
      <c r="A2481" s="101">
        <v>42247</v>
      </c>
      <c r="B2481" s="102">
        <v>7971.3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6493-EA96-457E-A94E-1ECC12833917}">
  <dimension ref="A1:N25"/>
  <sheetViews>
    <sheetView showGridLines="0" workbookViewId="0">
      <selection activeCell="H19" sqref="H19"/>
    </sheetView>
  </sheetViews>
  <sheetFormatPr defaultColWidth="8.88671875" defaultRowHeight="13.8" x14ac:dyDescent="0.3"/>
  <cols>
    <col min="1" max="3" width="1.77734375" style="6" customWidth="1"/>
    <col min="4" max="4" width="35.77734375" style="6" customWidth="1"/>
    <col min="5" max="6" width="12.109375" style="6" customWidth="1"/>
    <col min="7" max="7" width="3.109375" style="6" customWidth="1"/>
    <col min="8" max="14" width="12.77734375" style="6" customWidth="1"/>
    <col min="15" max="16384" width="8.88671875" style="6"/>
  </cols>
  <sheetData>
    <row r="1" spans="1:14" ht="33.6" x14ac:dyDescent="0.65">
      <c r="A1" s="1" t="str">
        <f>Historical!A1</f>
        <v>Alkem Laboratories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6" x14ac:dyDescent="0.3">
      <c r="A2" s="31" t="s">
        <v>326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3">
      <c r="A3" s="107" t="s">
        <v>327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5" spans="1:14" x14ac:dyDescent="0.3">
      <c r="A5" s="115" t="s">
        <v>333</v>
      </c>
      <c r="B5" s="114"/>
      <c r="C5" s="114"/>
      <c r="D5" s="114"/>
      <c r="E5" s="114"/>
      <c r="F5" s="114"/>
      <c r="G5" s="114"/>
      <c r="H5" s="114"/>
    </row>
    <row r="7" spans="1:14" x14ac:dyDescent="0.3">
      <c r="C7" s="129" t="s">
        <v>334</v>
      </c>
      <c r="D7" s="125"/>
      <c r="E7" s="125"/>
      <c r="F7" s="125"/>
      <c r="G7" s="125"/>
      <c r="H7" s="125"/>
      <c r="K7" s="116"/>
    </row>
    <row r="8" spans="1:14" x14ac:dyDescent="0.3">
      <c r="D8" s="6" t="s">
        <v>262</v>
      </c>
      <c r="H8" s="116">
        <v>648206.90549999988</v>
      </c>
    </row>
    <row r="9" spans="1:14" x14ac:dyDescent="0.3">
      <c r="D9" s="6" t="s">
        <v>335</v>
      </c>
      <c r="H9" s="116">
        <v>14367.84</v>
      </c>
    </row>
    <row r="10" spans="1:14" x14ac:dyDescent="0.3">
      <c r="D10" s="123" t="s">
        <v>336</v>
      </c>
      <c r="E10" s="123"/>
      <c r="F10" s="123"/>
      <c r="G10" s="123"/>
      <c r="H10" s="124">
        <f>H9/H8</f>
        <v>2.2165515174382856E-2</v>
      </c>
    </row>
    <row r="12" spans="1:14" x14ac:dyDescent="0.3">
      <c r="C12" s="129" t="s">
        <v>337</v>
      </c>
      <c r="D12" s="125"/>
      <c r="E12" s="125"/>
      <c r="F12" s="125"/>
      <c r="G12" s="125"/>
      <c r="H12" s="125"/>
    </row>
    <row r="13" spans="1:14" x14ac:dyDescent="0.3">
      <c r="D13" s="6" t="s">
        <v>338</v>
      </c>
      <c r="H13" s="106">
        <f>H10</f>
        <v>2.2165515174382856E-2</v>
      </c>
    </row>
    <row r="14" spans="1:14" x14ac:dyDescent="0.3">
      <c r="D14" s="6" t="s">
        <v>339</v>
      </c>
      <c r="H14" s="106">
        <f>[2]Model!E133</f>
        <v>0.15679999999999999</v>
      </c>
    </row>
    <row r="15" spans="1:14" x14ac:dyDescent="0.3">
      <c r="D15" s="123" t="s">
        <v>340</v>
      </c>
      <c r="E15" s="123"/>
      <c r="F15" s="123"/>
      <c r="G15" s="123"/>
      <c r="H15" s="124">
        <f>H13*(1-H14)</f>
        <v>1.8689962395039623E-2</v>
      </c>
    </row>
    <row r="17" spans="3:8" x14ac:dyDescent="0.3">
      <c r="C17" s="129" t="s">
        <v>341</v>
      </c>
      <c r="D17" s="125"/>
      <c r="E17" s="125"/>
      <c r="F17" s="125"/>
      <c r="G17" s="125"/>
      <c r="H17" s="125"/>
    </row>
    <row r="18" spans="3:8" x14ac:dyDescent="0.3">
      <c r="D18" s="6" t="s">
        <v>342</v>
      </c>
      <c r="H18" s="106">
        <v>6.5879999999999994E-2</v>
      </c>
    </row>
    <row r="19" spans="3:8" x14ac:dyDescent="0.3">
      <c r="D19" s="6" t="s">
        <v>319</v>
      </c>
      <c r="H19" s="106">
        <v>0.12321276262999481</v>
      </c>
    </row>
    <row r="20" spans="3:8" x14ac:dyDescent="0.3">
      <c r="D20" s="6" t="s">
        <v>343</v>
      </c>
      <c r="H20" s="106">
        <f>H19-H18</f>
        <v>5.7332762629994816E-2</v>
      </c>
    </row>
    <row r="21" spans="3:8" x14ac:dyDescent="0.3">
      <c r="D21" s="6" t="s">
        <v>344</v>
      </c>
      <c r="H21" s="117">
        <f>Beta!H9</f>
        <v>0.58533230953655868</v>
      </c>
    </row>
    <row r="22" spans="3:8" x14ac:dyDescent="0.3">
      <c r="D22" s="120" t="s">
        <v>341</v>
      </c>
      <c r="E22" s="120"/>
      <c r="F22" s="120"/>
      <c r="G22" s="120"/>
      <c r="H22" s="121">
        <f>H18+(H20*H21)</f>
        <v>9.9438718362326164E-2</v>
      </c>
    </row>
    <row r="23" spans="3:8" x14ac:dyDescent="0.3">
      <c r="H23" s="106"/>
    </row>
    <row r="24" spans="3:8" ht="14.4" thickBot="1" x14ac:dyDescent="0.35">
      <c r="D24" s="118" t="s">
        <v>345</v>
      </c>
      <c r="E24" s="119"/>
      <c r="F24" s="119"/>
      <c r="G24" s="119"/>
      <c r="H24" s="122">
        <f>(H15*H10)+(H22*(1-H10))</f>
        <v>9.7648880586620745E-2</v>
      </c>
    </row>
    <row r="25" spans="3:8" ht="14.4" thickTop="1" x14ac:dyDescent="0.3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DB02-519C-4FBB-BEB4-0426799D0999}">
  <dimension ref="A1:Q2481"/>
  <sheetViews>
    <sheetView showGridLines="0" workbookViewId="0">
      <selection activeCell="H9" sqref="H9"/>
    </sheetView>
  </sheetViews>
  <sheetFormatPr defaultRowHeight="13.2" x14ac:dyDescent="0.25"/>
  <cols>
    <col min="1" max="6" width="12.6640625" customWidth="1"/>
    <col min="7" max="7" width="13.33203125" bestFit="1" customWidth="1"/>
    <col min="8" max="13" width="12.6640625" customWidth="1"/>
  </cols>
  <sheetData>
    <row r="1" spans="1:17" ht="33.6" x14ac:dyDescent="0.65">
      <c r="A1" s="1" t="str">
        <f>Historical!A1</f>
        <v>Alkem Laboratories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7" ht="15.6" x14ac:dyDescent="0.3">
      <c r="A2" s="31" t="s">
        <v>346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7" x14ac:dyDescent="0.25">
      <c r="A4" s="130"/>
      <c r="B4" s="130" t="s">
        <v>321</v>
      </c>
      <c r="C4" s="130" t="s">
        <v>347</v>
      </c>
      <c r="D4" s="130" t="s">
        <v>348</v>
      </c>
      <c r="E4" s="130" t="s">
        <v>347</v>
      </c>
    </row>
    <row r="5" spans="1:17" x14ac:dyDescent="0.25">
      <c r="A5" s="130" t="s">
        <v>320</v>
      </c>
      <c r="B5" s="130" t="s">
        <v>322</v>
      </c>
      <c r="C5" s="130" t="s">
        <v>349</v>
      </c>
      <c r="D5" s="130" t="s">
        <v>322</v>
      </c>
      <c r="E5" s="130" t="s">
        <v>349</v>
      </c>
    </row>
    <row r="6" spans="1:17" ht="15.6" thickBot="1" x14ac:dyDescent="0.35">
      <c r="A6" s="140">
        <v>45870</v>
      </c>
      <c r="B6" s="102">
        <v>15714.75</v>
      </c>
      <c r="C6" s="109">
        <f>B6/B7-1</f>
        <v>-3.0698629756761076E-2</v>
      </c>
      <c r="D6" s="102">
        <v>5303.5</v>
      </c>
      <c r="E6" s="109">
        <f t="shared" ref="E6:E64" si="0">D6/D7-1</f>
        <v>5.4143229114905322E-2</v>
      </c>
      <c r="F6" s="140"/>
      <c r="G6" s="166"/>
      <c r="H6" s="112"/>
      <c r="I6" s="131"/>
      <c r="J6" s="132"/>
      <c r="K6" s="132"/>
      <c r="L6" s="132"/>
      <c r="M6" s="132"/>
      <c r="N6" s="132"/>
      <c r="O6" s="132"/>
    </row>
    <row r="7" spans="1:17" ht="15" x14ac:dyDescent="0.3">
      <c r="A7" s="140">
        <v>45839</v>
      </c>
      <c r="B7" s="102">
        <v>16212.45</v>
      </c>
      <c r="C7" s="109">
        <f t="shared" ref="C7:C64" si="1">B7/B8-1</f>
        <v>-3.7619759945863196E-2</v>
      </c>
      <c r="D7" s="102">
        <v>5031.1000000000004</v>
      </c>
      <c r="E7" s="109">
        <f t="shared" si="0"/>
        <v>1.8647499493824826E-2</v>
      </c>
      <c r="F7" s="140"/>
      <c r="H7" s="112"/>
      <c r="I7" s="133"/>
      <c r="J7" s="155" t="s">
        <v>417</v>
      </c>
      <c r="K7" s="156">
        <f>SLOPE(E6:E65,C6:C65)</f>
        <v>0.44710974604874493</v>
      </c>
      <c r="L7" s="135"/>
      <c r="M7" s="135"/>
      <c r="N7" s="136"/>
      <c r="O7" s="139"/>
    </row>
    <row r="8" spans="1:17" ht="15" x14ac:dyDescent="0.3">
      <c r="A8" s="140">
        <v>45809</v>
      </c>
      <c r="B8" s="102">
        <v>16846.2</v>
      </c>
      <c r="C8" s="109">
        <f t="shared" si="1"/>
        <v>5.2959890992505754E-2</v>
      </c>
      <c r="D8" s="102">
        <v>4939</v>
      </c>
      <c r="E8" s="109">
        <f t="shared" si="0"/>
        <v>-3.1283710895361416E-2</v>
      </c>
      <c r="F8" s="140"/>
      <c r="I8" s="133"/>
      <c r="J8" s="157" t="s">
        <v>418</v>
      </c>
      <c r="K8" s="158">
        <v>0.75</v>
      </c>
      <c r="L8" s="135"/>
      <c r="M8" s="135"/>
      <c r="N8" s="136"/>
      <c r="O8" s="139"/>
    </row>
    <row r="9" spans="1:17" ht="15" x14ac:dyDescent="0.3">
      <c r="A9" s="140">
        <v>45778</v>
      </c>
      <c r="B9" s="102">
        <v>15998.9</v>
      </c>
      <c r="C9" s="109">
        <f t="shared" si="1"/>
        <v>4.4716960187017207E-2</v>
      </c>
      <c r="D9" s="102">
        <v>5098.5</v>
      </c>
      <c r="E9" s="109">
        <f t="shared" si="0"/>
        <v>-3.4206411258795866E-3</v>
      </c>
      <c r="F9" s="140"/>
      <c r="G9" s="142" t="s">
        <v>416</v>
      </c>
      <c r="H9" s="143">
        <f>(K7*K8)+(K10*K11)</f>
        <v>0.58533230953655868</v>
      </c>
      <c r="I9" s="133"/>
      <c r="J9" s="157"/>
      <c r="K9" s="159"/>
      <c r="L9" s="144"/>
      <c r="M9" s="135"/>
      <c r="N9" s="136"/>
      <c r="O9" s="137"/>
    </row>
    <row r="10" spans="1:17" ht="15" x14ac:dyDescent="0.3">
      <c r="A10" s="140">
        <v>45748</v>
      </c>
      <c r="B10" s="102">
        <v>15314.1</v>
      </c>
      <c r="C10" s="109">
        <f t="shared" si="1"/>
        <v>5.1677013514998427E-2</v>
      </c>
      <c r="D10" s="102">
        <v>5116</v>
      </c>
      <c r="E10" s="109">
        <f t="shared" si="0"/>
        <v>4.7995575311879035E-2</v>
      </c>
      <c r="F10" s="140"/>
      <c r="J10" s="157" t="s">
        <v>415</v>
      </c>
      <c r="K10" s="159">
        <v>1</v>
      </c>
      <c r="L10" s="135"/>
      <c r="M10" s="135"/>
      <c r="N10" s="136"/>
      <c r="O10" s="137"/>
    </row>
    <row r="11" spans="1:17" ht="15.6" thickBot="1" x14ac:dyDescent="0.35">
      <c r="A11" s="140">
        <v>45717</v>
      </c>
      <c r="B11" s="102">
        <v>14561.6</v>
      </c>
      <c r="C11" s="109">
        <f t="shared" si="1"/>
        <v>7.5438602969686519E-2</v>
      </c>
      <c r="D11" s="102">
        <v>4881.7</v>
      </c>
      <c r="E11" s="109">
        <f t="shared" si="0"/>
        <v>5.0686582583616691E-2</v>
      </c>
      <c r="F11" s="140"/>
      <c r="I11" s="133"/>
      <c r="J11" s="160" t="s">
        <v>418</v>
      </c>
      <c r="K11" s="161">
        <v>0.25</v>
      </c>
      <c r="L11" s="135"/>
      <c r="M11" s="135"/>
      <c r="N11" s="136"/>
      <c r="O11" s="137"/>
    </row>
    <row r="12" spans="1:17" ht="15" x14ac:dyDescent="0.3">
      <c r="A12" s="140">
        <v>45689</v>
      </c>
      <c r="B12" s="102">
        <v>13540.15</v>
      </c>
      <c r="C12" s="109">
        <f t="shared" si="1"/>
        <v>-9.4189228062429353E-2</v>
      </c>
      <c r="D12" s="102">
        <v>4646.2</v>
      </c>
      <c r="E12" s="109">
        <f t="shared" si="0"/>
        <v>-8.2331796051787087E-2</v>
      </c>
      <c r="F12" s="140"/>
      <c r="I12" s="133"/>
      <c r="K12" s="135"/>
      <c r="L12" s="135"/>
      <c r="M12" s="135"/>
      <c r="N12" s="136"/>
      <c r="O12" s="137"/>
    </row>
    <row r="13" spans="1:17" ht="13.8" x14ac:dyDescent="0.3">
      <c r="A13" s="140">
        <v>45658</v>
      </c>
      <c r="B13" s="102">
        <v>14948.1</v>
      </c>
      <c r="C13" s="109">
        <f t="shared" si="1"/>
        <v>-6.4228970646233563E-2</v>
      </c>
      <c r="D13" s="102">
        <v>5063.05</v>
      </c>
      <c r="E13" s="109">
        <f t="shared" si="0"/>
        <v>-0.10132412715880645</v>
      </c>
      <c r="F13" s="140"/>
      <c r="H13" s="6" t="s">
        <v>350</v>
      </c>
      <c r="I13" s="6"/>
      <c r="J13" s="6"/>
      <c r="K13" s="6"/>
      <c r="L13" s="6"/>
      <c r="M13" s="6"/>
      <c r="N13" s="6"/>
      <c r="O13" s="6"/>
      <c r="P13" s="6"/>
      <c r="Q13" s="6"/>
    </row>
    <row r="14" spans="1:17" ht="14.4" thickBot="1" x14ac:dyDescent="0.35">
      <c r="A14" s="140">
        <v>45627</v>
      </c>
      <c r="B14" s="102">
        <v>15974.1</v>
      </c>
      <c r="C14" s="109">
        <f t="shared" si="1"/>
        <v>1.760443375643006E-2</v>
      </c>
      <c r="D14" s="102">
        <v>5633.9</v>
      </c>
      <c r="E14" s="109">
        <f t="shared" si="0"/>
        <v>-1.5152992051326031E-3</v>
      </c>
      <c r="F14" s="140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3.8" x14ac:dyDescent="0.3">
      <c r="A15" s="140">
        <v>45597</v>
      </c>
      <c r="B15" s="102">
        <v>15697.75</v>
      </c>
      <c r="C15" s="109">
        <f t="shared" si="1"/>
        <v>1.0177224638986848E-2</v>
      </c>
      <c r="D15" s="102">
        <v>5642.45</v>
      </c>
      <c r="E15" s="109">
        <f t="shared" si="0"/>
        <v>-2.3670891551672013E-2</v>
      </c>
      <c r="F15" s="140"/>
      <c r="H15" s="162" t="s">
        <v>351</v>
      </c>
      <c r="I15" s="162"/>
      <c r="J15" s="6"/>
      <c r="K15" s="6"/>
      <c r="L15" s="6"/>
      <c r="M15" s="6"/>
      <c r="N15" s="6"/>
      <c r="O15" s="6"/>
      <c r="P15" s="6"/>
      <c r="Q15" s="6"/>
    </row>
    <row r="16" spans="1:17" ht="13.8" x14ac:dyDescent="0.3">
      <c r="A16" s="140">
        <v>45566</v>
      </c>
      <c r="B16" s="102">
        <v>15539.6</v>
      </c>
      <c r="C16" s="109">
        <f t="shared" si="1"/>
        <v>-7.9590247196202113E-2</v>
      </c>
      <c r="D16" s="102">
        <v>5779.25</v>
      </c>
      <c r="E16" s="109">
        <f t="shared" si="0"/>
        <v>-4.5193959820248542E-2</v>
      </c>
      <c r="F16" s="140"/>
      <c r="H16" s="6" t="s">
        <v>352</v>
      </c>
      <c r="I16" s="6">
        <v>0.40346812258487669</v>
      </c>
      <c r="J16" s="6"/>
      <c r="K16" s="6"/>
      <c r="L16" s="6"/>
      <c r="M16" s="6"/>
      <c r="N16" s="6"/>
      <c r="O16" s="6"/>
      <c r="P16" s="6"/>
      <c r="Q16" s="6"/>
    </row>
    <row r="17" spans="1:17" ht="13.8" x14ac:dyDescent="0.3">
      <c r="A17" s="140">
        <v>45536</v>
      </c>
      <c r="B17" s="102">
        <v>16883.349999999999</v>
      </c>
      <c r="C17" s="109">
        <f t="shared" si="1"/>
        <v>1.5918718559703393E-2</v>
      </c>
      <c r="D17" s="102">
        <v>6052.8</v>
      </c>
      <c r="E17" s="109">
        <f t="shared" si="0"/>
        <v>-1.9050783180856845E-2</v>
      </c>
      <c r="F17" s="140"/>
      <c r="H17" s="6" t="s">
        <v>353</v>
      </c>
      <c r="I17" s="6">
        <v>0.16278652594216508</v>
      </c>
      <c r="J17" s="6"/>
      <c r="K17" s="6"/>
      <c r="L17" s="6"/>
      <c r="M17" s="6"/>
      <c r="N17" s="6"/>
      <c r="O17" s="6"/>
      <c r="P17" s="6"/>
      <c r="Q17" s="6"/>
    </row>
    <row r="18" spans="1:17" ht="13.8" x14ac:dyDescent="0.3">
      <c r="A18" s="140">
        <v>45505</v>
      </c>
      <c r="B18" s="102">
        <v>16618.8</v>
      </c>
      <c r="C18" s="109">
        <f t="shared" si="1"/>
        <v>-2.571774104005442E-3</v>
      </c>
      <c r="D18" s="102">
        <v>6170.35</v>
      </c>
      <c r="E18" s="109">
        <f t="shared" si="0"/>
        <v>0.16213391091439888</v>
      </c>
      <c r="F18" s="140"/>
      <c r="H18" s="6" t="s">
        <v>354</v>
      </c>
      <c r="I18" s="6">
        <v>0.14809857025693993</v>
      </c>
      <c r="J18" s="6"/>
      <c r="K18" s="6"/>
      <c r="L18" s="6"/>
      <c r="M18" s="6"/>
      <c r="N18" s="6"/>
      <c r="O18" s="6"/>
      <c r="P18" s="6"/>
      <c r="Q18" s="6"/>
    </row>
    <row r="19" spans="1:17" ht="13.8" x14ac:dyDescent="0.3">
      <c r="A19" s="140">
        <v>45474</v>
      </c>
      <c r="B19" s="102">
        <v>16661.650000000001</v>
      </c>
      <c r="C19" s="109">
        <f t="shared" si="1"/>
        <v>6.0498435824239527E-2</v>
      </c>
      <c r="D19" s="102">
        <v>5309.5</v>
      </c>
      <c r="E19" s="109">
        <f t="shared" si="0"/>
        <v>6.3740270668255938E-2</v>
      </c>
      <c r="F19" s="140"/>
      <c r="H19" s="6" t="s">
        <v>355</v>
      </c>
      <c r="I19" s="6">
        <v>6.5805166081572053E-2</v>
      </c>
      <c r="J19" s="6"/>
      <c r="K19" s="6"/>
      <c r="L19" s="6"/>
      <c r="M19" s="6"/>
      <c r="N19" s="6"/>
      <c r="O19" s="6"/>
      <c r="P19" s="6"/>
      <c r="Q19" s="6"/>
    </row>
    <row r="20" spans="1:17" ht="14.4" thickBot="1" x14ac:dyDescent="0.35">
      <c r="A20" s="140">
        <v>45444</v>
      </c>
      <c r="B20" s="102">
        <v>15711.15</v>
      </c>
      <c r="C20" s="109">
        <f t="shared" si="1"/>
        <v>8.7769888773111537E-2</v>
      </c>
      <c r="D20" s="102">
        <v>4991.3500000000004</v>
      </c>
      <c r="E20" s="109">
        <f t="shared" si="0"/>
        <v>3.7605629410969899E-2</v>
      </c>
      <c r="F20" s="140"/>
      <c r="H20" s="163" t="s">
        <v>356</v>
      </c>
      <c r="I20" s="163">
        <v>59</v>
      </c>
      <c r="J20" s="6"/>
      <c r="K20" s="6"/>
      <c r="L20" s="6"/>
      <c r="M20" s="6"/>
      <c r="N20" s="6"/>
      <c r="O20" s="6"/>
      <c r="P20" s="6"/>
      <c r="Q20" s="6"/>
    </row>
    <row r="21" spans="1:17" ht="13.8" x14ac:dyDescent="0.3">
      <c r="A21" s="140">
        <v>45413</v>
      </c>
      <c r="B21" s="102">
        <v>14443.45</v>
      </c>
      <c r="C21" s="109">
        <f t="shared" si="1"/>
        <v>1.9880806953869179E-2</v>
      </c>
      <c r="D21" s="102">
        <v>4810.45</v>
      </c>
      <c r="E21" s="109">
        <f t="shared" si="0"/>
        <v>-4.676136187293789E-3</v>
      </c>
      <c r="F21" s="140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ht="14.4" thickBot="1" x14ac:dyDescent="0.35">
      <c r="A22" s="140">
        <v>45383</v>
      </c>
      <c r="B22" s="102">
        <v>14161.9</v>
      </c>
      <c r="C22" s="109">
        <f t="shared" si="1"/>
        <v>4.6974457546298032E-2</v>
      </c>
      <c r="D22" s="102">
        <v>4833.05</v>
      </c>
      <c r="E22" s="109">
        <f t="shared" si="0"/>
        <v>-2.2045730473492453E-2</v>
      </c>
      <c r="F22" s="140"/>
      <c r="H22" s="6" t="s">
        <v>357</v>
      </c>
      <c r="I22" s="6"/>
      <c r="J22" s="6"/>
      <c r="K22" s="6"/>
      <c r="L22" s="6"/>
      <c r="M22" s="6"/>
      <c r="N22" s="6"/>
      <c r="O22" s="6"/>
      <c r="P22" s="6"/>
      <c r="Q22" s="6"/>
    </row>
    <row r="23" spans="1:17" ht="13.8" x14ac:dyDescent="0.3">
      <c r="A23" s="140">
        <v>45352</v>
      </c>
      <c r="B23" s="102">
        <v>13526.5</v>
      </c>
      <c r="C23" s="109">
        <f t="shared" si="1"/>
        <v>-1.5957543549507736E-2</v>
      </c>
      <c r="D23" s="102">
        <v>4942</v>
      </c>
      <c r="E23" s="109">
        <f t="shared" si="0"/>
        <v>-3.6149277892088549E-2</v>
      </c>
      <c r="F23" s="140"/>
      <c r="H23" s="164"/>
      <c r="I23" s="164" t="s">
        <v>361</v>
      </c>
      <c r="J23" s="164" t="s">
        <v>362</v>
      </c>
      <c r="K23" s="164" t="s">
        <v>363</v>
      </c>
      <c r="L23" s="164" t="s">
        <v>364</v>
      </c>
      <c r="M23" s="164" t="s">
        <v>365</v>
      </c>
      <c r="N23" s="6"/>
      <c r="O23" s="6"/>
      <c r="P23" s="6"/>
      <c r="Q23" s="6"/>
    </row>
    <row r="24" spans="1:17" ht="13.8" x14ac:dyDescent="0.3">
      <c r="A24" s="140">
        <v>45323</v>
      </c>
      <c r="B24" s="102">
        <v>13745.85</v>
      </c>
      <c r="C24" s="109">
        <f t="shared" si="1"/>
        <v>9.1956301484517056E-3</v>
      </c>
      <c r="D24" s="102">
        <v>5127.3500000000004</v>
      </c>
      <c r="E24" s="109">
        <f t="shared" si="0"/>
        <v>2.6280761801823482E-2</v>
      </c>
      <c r="F24" s="140"/>
      <c r="H24" s="6" t="s">
        <v>358</v>
      </c>
      <c r="I24" s="6">
        <v>1</v>
      </c>
      <c r="J24" s="6">
        <v>4.799290963852304E-2</v>
      </c>
      <c r="K24" s="6">
        <v>4.799290963852304E-2</v>
      </c>
      <c r="L24" s="6">
        <v>11.082994082417772</v>
      </c>
      <c r="M24" s="6">
        <v>1.5314289782283421E-3</v>
      </c>
      <c r="N24" s="6"/>
      <c r="O24" s="6"/>
      <c r="P24" s="6"/>
      <c r="Q24" s="6"/>
    </row>
    <row r="25" spans="1:17" ht="13.8" x14ac:dyDescent="0.3">
      <c r="A25" s="140">
        <v>45292</v>
      </c>
      <c r="B25" s="102">
        <v>13620.6</v>
      </c>
      <c r="C25" s="109">
        <f t="shared" si="1"/>
        <v>3.6184998801821244E-2</v>
      </c>
      <c r="D25" s="102">
        <v>4996.05</v>
      </c>
      <c r="E25" s="109">
        <f t="shared" si="0"/>
        <v>-3.9701303194556559E-2</v>
      </c>
      <c r="F25" s="140"/>
      <c r="H25" s="6" t="s">
        <v>359</v>
      </c>
      <c r="I25" s="6">
        <v>57</v>
      </c>
      <c r="J25" s="6">
        <v>0.24682823333232701</v>
      </c>
      <c r="K25" s="6">
        <v>4.3303198830232812E-3</v>
      </c>
      <c r="L25" s="6"/>
      <c r="M25" s="6"/>
      <c r="N25" s="6"/>
      <c r="O25" s="6"/>
      <c r="P25" s="6"/>
      <c r="Q25" s="6"/>
    </row>
    <row r="26" spans="1:17" ht="14.4" thickBot="1" x14ac:dyDescent="0.35">
      <c r="A26" s="140">
        <v>45261</v>
      </c>
      <c r="B26" s="102">
        <v>13144.95</v>
      </c>
      <c r="C26" s="109">
        <f t="shared" si="1"/>
        <v>7.7401931052571316E-2</v>
      </c>
      <c r="D26" s="102">
        <v>5202.6000000000004</v>
      </c>
      <c r="E26" s="109">
        <f t="shared" si="0"/>
        <v>0.1014173661758635</v>
      </c>
      <c r="F26" s="140"/>
      <c r="H26" s="163" t="s">
        <v>222</v>
      </c>
      <c r="I26" s="163">
        <v>58</v>
      </c>
      <c r="J26" s="163">
        <v>0.29482114297085005</v>
      </c>
      <c r="K26" s="163"/>
      <c r="L26" s="163"/>
      <c r="M26" s="163"/>
      <c r="N26" s="6"/>
      <c r="O26" s="6"/>
      <c r="P26" s="6"/>
      <c r="Q26" s="6"/>
    </row>
    <row r="27" spans="1:17" ht="14.4" thickBot="1" x14ac:dyDescent="0.35">
      <c r="A27" s="140">
        <v>45231</v>
      </c>
      <c r="B27" s="102">
        <v>12200.6</v>
      </c>
      <c r="C27" s="109">
        <f t="shared" si="1"/>
        <v>0.10224639416018833</v>
      </c>
      <c r="D27" s="102">
        <v>4723.55</v>
      </c>
      <c r="E27" s="109">
        <f t="shared" si="0"/>
        <v>0.26914034687050803</v>
      </c>
      <c r="F27" s="140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13.8" x14ac:dyDescent="0.3">
      <c r="A28" s="140">
        <v>45200</v>
      </c>
      <c r="B28" s="102">
        <v>11068.85</v>
      </c>
      <c r="C28" s="109">
        <f t="shared" si="1"/>
        <v>-4.6746155800424516E-2</v>
      </c>
      <c r="D28" s="102">
        <v>3721.85</v>
      </c>
      <c r="E28" s="109">
        <f t="shared" si="0"/>
        <v>3.2155633822346763E-2</v>
      </c>
      <c r="F28" s="140"/>
      <c r="H28" s="164"/>
      <c r="I28" s="164" t="s">
        <v>366</v>
      </c>
      <c r="J28" s="164" t="s">
        <v>355</v>
      </c>
      <c r="K28" s="164" t="s">
        <v>367</v>
      </c>
      <c r="L28" s="164" t="s">
        <v>368</v>
      </c>
      <c r="M28" s="164" t="s">
        <v>369</v>
      </c>
      <c r="N28" s="164" t="s">
        <v>370</v>
      </c>
      <c r="O28" s="164" t="s">
        <v>371</v>
      </c>
      <c r="P28" s="164" t="s">
        <v>372</v>
      </c>
      <c r="Q28" s="6"/>
    </row>
    <row r="29" spans="1:17" ht="13.8" x14ac:dyDescent="0.3">
      <c r="A29" s="140">
        <v>45170</v>
      </c>
      <c r="B29" s="102">
        <v>11611.65</v>
      </c>
      <c r="C29" s="109">
        <f t="shared" si="1"/>
        <v>3.8362999825622746E-2</v>
      </c>
      <c r="D29" s="102">
        <v>3605.9</v>
      </c>
      <c r="E29" s="109">
        <f t="shared" si="0"/>
        <v>-1.014315714344538E-2</v>
      </c>
      <c r="F29" s="140"/>
      <c r="H29" s="6" t="s">
        <v>360</v>
      </c>
      <c r="I29" s="6">
        <v>3.3289726467944508E-3</v>
      </c>
      <c r="J29" s="6">
        <v>9.1001850632289258E-3</v>
      </c>
      <c r="K29" s="6">
        <v>0.36581373056310851</v>
      </c>
      <c r="L29" s="6">
        <v>0.71585823424693595</v>
      </c>
      <c r="M29" s="6">
        <v>-1.4893833615477418E-2</v>
      </c>
      <c r="N29" s="6">
        <v>2.1551778909066319E-2</v>
      </c>
      <c r="O29" s="6">
        <v>-1.4893833615477418E-2</v>
      </c>
      <c r="P29" s="6">
        <v>2.1551778909066319E-2</v>
      </c>
      <c r="Q29" s="6"/>
    </row>
    <row r="30" spans="1:17" ht="14.4" thickBot="1" x14ac:dyDescent="0.35">
      <c r="A30" s="140">
        <v>45139</v>
      </c>
      <c r="B30" s="102">
        <v>11182.65</v>
      </c>
      <c r="C30" s="109">
        <f t="shared" si="1"/>
        <v>3.3277893277893211E-2</v>
      </c>
      <c r="D30" s="102">
        <v>3642.85</v>
      </c>
      <c r="E30" s="109">
        <f t="shared" si="0"/>
        <v>-8.4423499842915528E-2</v>
      </c>
      <c r="F30" s="140"/>
      <c r="H30" s="163" t="s">
        <v>373</v>
      </c>
      <c r="I30" s="165">
        <v>0.7309041317643048</v>
      </c>
      <c r="J30" s="163">
        <v>0.21954920369672318</v>
      </c>
      <c r="K30" s="163">
        <v>3.3291131074834035</v>
      </c>
      <c r="L30" s="163">
        <v>1.5314289782283213E-3</v>
      </c>
      <c r="M30" s="163">
        <v>0.29126443474677127</v>
      </c>
      <c r="N30" s="163">
        <v>1.1705438287818384</v>
      </c>
      <c r="O30" s="163">
        <v>0.29126443474677127</v>
      </c>
      <c r="P30" s="163">
        <v>1.1705438287818384</v>
      </c>
      <c r="Q30" s="6"/>
    </row>
    <row r="31" spans="1:17" ht="13.8" x14ac:dyDescent="0.3">
      <c r="A31" s="140">
        <v>45108</v>
      </c>
      <c r="B31" s="102">
        <v>10822.5</v>
      </c>
      <c r="C31" s="109">
        <f t="shared" si="1"/>
        <v>6.8693621412383887E-2</v>
      </c>
      <c r="D31" s="102">
        <v>3978.75</v>
      </c>
      <c r="E31" s="109">
        <f t="shared" si="0"/>
        <v>0.13262735385797852</v>
      </c>
      <c r="F31" s="140"/>
    </row>
    <row r="32" spans="1:17" ht="13.8" x14ac:dyDescent="0.3">
      <c r="A32" s="140">
        <v>45078</v>
      </c>
      <c r="B32" s="102">
        <v>10126.85</v>
      </c>
      <c r="C32" s="109">
        <f t="shared" si="1"/>
        <v>6.1525802157255338E-2</v>
      </c>
      <c r="D32" s="102">
        <v>3512.85</v>
      </c>
      <c r="E32" s="109">
        <f t="shared" si="0"/>
        <v>4.5615549470175099E-2</v>
      </c>
      <c r="F32" s="140"/>
    </row>
    <row r="33" spans="1:15" ht="13.8" x14ac:dyDescent="0.3">
      <c r="A33" s="140">
        <v>45047</v>
      </c>
      <c r="B33" s="102">
        <v>9539.9</v>
      </c>
      <c r="C33" s="109">
        <f t="shared" si="1"/>
        <v>6.4382423001612121E-2</v>
      </c>
      <c r="D33" s="102">
        <v>3359.6</v>
      </c>
      <c r="E33" s="109">
        <f t="shared" si="0"/>
        <v>-4.2821732812900692E-2</v>
      </c>
      <c r="F33" s="140"/>
    </row>
    <row r="34" spans="1:15" ht="15" x14ac:dyDescent="0.3">
      <c r="A34" s="140">
        <v>45017</v>
      </c>
      <c r="B34" s="102">
        <v>8962.85</v>
      </c>
      <c r="C34" s="109">
        <f t="shared" si="1"/>
        <v>5.8587660036850009E-2</v>
      </c>
      <c r="D34" s="102">
        <v>3509.9</v>
      </c>
      <c r="E34" s="109">
        <f t="shared" si="0"/>
        <v>3.3509025058154895E-2</v>
      </c>
      <c r="F34" s="140"/>
      <c r="I34" s="133"/>
      <c r="J34" s="134"/>
      <c r="K34" s="135"/>
      <c r="L34" s="135"/>
      <c r="M34" s="135"/>
      <c r="N34" s="136"/>
      <c r="O34" s="137"/>
    </row>
    <row r="35" spans="1:15" ht="15" x14ac:dyDescent="0.3">
      <c r="A35" s="140">
        <v>44986</v>
      </c>
      <c r="B35" s="102">
        <v>8466.7999999999993</v>
      </c>
      <c r="C35" s="109">
        <f t="shared" si="1"/>
        <v>1.1943192971251015E-3</v>
      </c>
      <c r="D35" s="102">
        <v>3396.1</v>
      </c>
      <c r="E35" s="109">
        <f t="shared" si="0"/>
        <v>6.9637795275590442E-2</v>
      </c>
      <c r="F35" s="140"/>
      <c r="I35" s="133"/>
      <c r="J35" s="134"/>
      <c r="K35" s="135"/>
      <c r="L35" s="135"/>
      <c r="M35" s="135"/>
      <c r="N35" s="136"/>
      <c r="O35" s="137"/>
    </row>
    <row r="36" spans="1:15" ht="15" x14ac:dyDescent="0.3">
      <c r="A36" s="140">
        <v>44958</v>
      </c>
      <c r="B36" s="102">
        <v>8456.7000000000007</v>
      </c>
      <c r="C36" s="109">
        <f t="shared" si="1"/>
        <v>-2.0988654781199267E-2</v>
      </c>
      <c r="D36" s="102">
        <v>3175</v>
      </c>
      <c r="E36" s="109">
        <f t="shared" si="0"/>
        <v>6.2391669510864833E-2</v>
      </c>
      <c r="F36" s="140"/>
      <c r="I36" s="133"/>
      <c r="J36" s="134"/>
      <c r="K36" s="135"/>
      <c r="L36" s="135"/>
      <c r="M36" s="135"/>
      <c r="N36" s="136"/>
      <c r="O36" s="137"/>
    </row>
    <row r="37" spans="1:15" ht="15" x14ac:dyDescent="0.3">
      <c r="A37" s="140">
        <v>44927</v>
      </c>
      <c r="B37" s="102">
        <v>8638</v>
      </c>
      <c r="C37" s="109">
        <f t="shared" si="1"/>
        <v>-1.2997400519896063E-2</v>
      </c>
      <c r="D37" s="102">
        <v>2988.54</v>
      </c>
      <c r="E37" s="109">
        <f t="shared" si="0"/>
        <v>2.196519773708161E-3</v>
      </c>
      <c r="F37" s="140"/>
      <c r="I37" s="133"/>
      <c r="J37" s="138"/>
      <c r="K37" s="135"/>
      <c r="L37" s="135"/>
      <c r="M37" s="135"/>
      <c r="N37" s="136"/>
      <c r="O37" s="139"/>
    </row>
    <row r="38" spans="1:15" ht="15" x14ac:dyDescent="0.3">
      <c r="A38" s="140">
        <v>44896</v>
      </c>
      <c r="B38" s="102">
        <v>8751.75</v>
      </c>
      <c r="C38" s="109">
        <f t="shared" si="1"/>
        <v>-1.1727042775193097E-2</v>
      </c>
      <c r="D38" s="102">
        <v>2981.99</v>
      </c>
      <c r="E38" s="109">
        <f t="shared" si="0"/>
        <v>-3.8250784528106041E-2</v>
      </c>
      <c r="F38" s="140"/>
      <c r="I38" s="133"/>
      <c r="J38" s="138"/>
      <c r="K38" s="135"/>
      <c r="L38" s="135"/>
      <c r="M38" s="135"/>
      <c r="N38" s="136"/>
      <c r="O38" s="139"/>
    </row>
    <row r="39" spans="1:15" ht="15" x14ac:dyDescent="0.3">
      <c r="A39" s="140">
        <v>44866</v>
      </c>
      <c r="B39" s="102">
        <v>8855.6</v>
      </c>
      <c r="C39" s="109">
        <f t="shared" si="1"/>
        <v>1.9015344606373663E-2</v>
      </c>
      <c r="D39" s="102">
        <v>3100.59</v>
      </c>
      <c r="E39" s="109">
        <f t="shared" si="0"/>
        <v>-9.8232391779902173E-3</v>
      </c>
      <c r="F39" s="140"/>
      <c r="I39" s="133"/>
      <c r="J39" s="138"/>
      <c r="K39" s="135"/>
      <c r="L39" s="135"/>
      <c r="M39" s="135"/>
      <c r="N39" s="136"/>
      <c r="O39" s="139"/>
    </row>
    <row r="40" spans="1:15" ht="15" x14ac:dyDescent="0.3">
      <c r="A40" s="140">
        <v>44835</v>
      </c>
      <c r="B40" s="102">
        <v>8690.35</v>
      </c>
      <c r="C40" s="109">
        <f t="shared" si="1"/>
        <v>4.2921262015913175E-2</v>
      </c>
      <c r="D40" s="102">
        <v>3131.35</v>
      </c>
      <c r="E40" s="109">
        <f t="shared" si="0"/>
        <v>-3.7227549862718035E-2</v>
      </c>
      <c r="F40" s="140"/>
      <c r="I40" s="133"/>
      <c r="J40" s="134"/>
      <c r="K40" s="135"/>
      <c r="L40" s="135"/>
      <c r="M40" s="135"/>
      <c r="N40" s="136"/>
      <c r="O40" s="137"/>
    </row>
    <row r="41" spans="1:15" ht="15" x14ac:dyDescent="0.3">
      <c r="A41" s="140">
        <v>44805</v>
      </c>
      <c r="B41" s="102">
        <v>8332.7000000000007</v>
      </c>
      <c r="C41" s="109">
        <f t="shared" si="1"/>
        <v>-2.6098644226273837E-2</v>
      </c>
      <c r="D41" s="102">
        <v>3252.43</v>
      </c>
      <c r="E41" s="109">
        <f t="shared" si="0"/>
        <v>0.10170823495936876</v>
      </c>
      <c r="F41" s="140"/>
      <c r="I41" s="133"/>
      <c r="J41" s="134"/>
      <c r="K41" s="135"/>
      <c r="L41" s="135"/>
      <c r="M41" s="135"/>
      <c r="N41" s="136"/>
      <c r="O41" s="137"/>
    </row>
    <row r="42" spans="1:15" ht="15" x14ac:dyDescent="0.3">
      <c r="A42" s="140">
        <v>44774</v>
      </c>
      <c r="B42" s="102">
        <v>8556</v>
      </c>
      <c r="C42" s="109">
        <f t="shared" si="1"/>
        <v>4.7143486561903369E-2</v>
      </c>
      <c r="D42" s="102">
        <v>2952.17</v>
      </c>
      <c r="E42" s="109">
        <f t="shared" si="0"/>
        <v>-7.7668810942366995E-2</v>
      </c>
      <c r="F42" s="140"/>
      <c r="I42" s="133"/>
      <c r="J42" s="138"/>
      <c r="K42" s="135"/>
      <c r="L42" s="135"/>
      <c r="M42" s="135"/>
      <c r="N42" s="136"/>
      <c r="O42" s="139"/>
    </row>
    <row r="43" spans="1:15" ht="15" x14ac:dyDescent="0.3">
      <c r="A43" s="140">
        <v>44743</v>
      </c>
      <c r="B43" s="102">
        <v>8170.8</v>
      </c>
      <c r="C43" s="109">
        <f t="shared" si="1"/>
        <v>0.11964810589710395</v>
      </c>
      <c r="D43" s="102">
        <v>3200.77</v>
      </c>
      <c r="E43" s="109">
        <f t="shared" si="0"/>
        <v>7.5567309275544448E-2</v>
      </c>
      <c r="F43" s="140"/>
      <c r="I43" s="133"/>
      <c r="J43" s="134"/>
      <c r="K43" s="135"/>
      <c r="L43" s="135"/>
      <c r="M43" s="135"/>
      <c r="N43" s="136"/>
      <c r="O43" s="137"/>
    </row>
    <row r="44" spans="1:15" ht="15" x14ac:dyDescent="0.3">
      <c r="A44" s="140">
        <v>44713</v>
      </c>
      <c r="B44" s="102">
        <v>7297.65</v>
      </c>
      <c r="C44" s="109">
        <f t="shared" si="1"/>
        <v>-6.2408459028188146E-2</v>
      </c>
      <c r="D44" s="102">
        <v>2975.89</v>
      </c>
      <c r="E44" s="109">
        <f t="shared" si="0"/>
        <v>-4.7791376689864884E-2</v>
      </c>
      <c r="F44" s="140"/>
      <c r="I44" s="133"/>
      <c r="J44" s="134"/>
      <c r="K44" s="135"/>
      <c r="L44" s="135"/>
      <c r="M44" s="135"/>
      <c r="N44" s="136"/>
      <c r="O44" s="137"/>
    </row>
    <row r="45" spans="1:15" ht="15" x14ac:dyDescent="0.3">
      <c r="A45" s="140">
        <v>44682</v>
      </c>
      <c r="B45" s="102">
        <v>7783.4</v>
      </c>
      <c r="C45" s="109">
        <f t="shared" si="1"/>
        <v>-4.7185344326312828E-2</v>
      </c>
      <c r="D45" s="102">
        <v>3125.25</v>
      </c>
      <c r="E45" s="109">
        <f t="shared" si="0"/>
        <v>-3.1179572389121502E-2</v>
      </c>
      <c r="F45" s="140"/>
      <c r="I45" s="133"/>
      <c r="J45" s="138"/>
      <c r="K45" s="135"/>
      <c r="L45" s="135"/>
      <c r="M45" s="135"/>
      <c r="N45" s="136"/>
      <c r="O45" s="139"/>
    </row>
    <row r="46" spans="1:15" ht="15" x14ac:dyDescent="0.3">
      <c r="A46" s="140">
        <v>44652</v>
      </c>
      <c r="B46" s="102">
        <v>8168.85</v>
      </c>
      <c r="C46" s="109">
        <f t="shared" si="1"/>
        <v>-1.8206812280433526E-3</v>
      </c>
      <c r="D46" s="102">
        <v>3225.83</v>
      </c>
      <c r="E46" s="109">
        <f t="shared" si="0"/>
        <v>-0.10227282214547506</v>
      </c>
      <c r="F46" s="140"/>
      <c r="I46" s="133"/>
      <c r="J46" s="138"/>
      <c r="K46" s="135"/>
      <c r="L46" s="135"/>
      <c r="M46" s="135"/>
      <c r="N46" s="136"/>
      <c r="O46" s="139"/>
    </row>
    <row r="47" spans="1:15" ht="15" x14ac:dyDescent="0.3">
      <c r="A47" s="140">
        <v>44621</v>
      </c>
      <c r="B47" s="102">
        <v>8183.75</v>
      </c>
      <c r="C47" s="109">
        <f t="shared" si="1"/>
        <v>4.7794941392621526E-2</v>
      </c>
      <c r="D47" s="102">
        <v>3593.33</v>
      </c>
      <c r="E47" s="109">
        <f t="shared" si="0"/>
        <v>0.10455923127524458</v>
      </c>
      <c r="F47" s="140"/>
      <c r="I47" s="133"/>
      <c r="J47" s="138"/>
      <c r="K47" s="135"/>
      <c r="L47" s="135"/>
      <c r="M47" s="135"/>
      <c r="N47" s="136"/>
      <c r="O47" s="139"/>
    </row>
    <row r="48" spans="1:15" ht="15" x14ac:dyDescent="0.3">
      <c r="A48" s="140">
        <v>44593</v>
      </c>
      <c r="B48" s="102">
        <v>7810.45</v>
      </c>
      <c r="C48" s="109">
        <f t="shared" si="1"/>
        <v>-6.9675060151987989E-2</v>
      </c>
      <c r="D48" s="102">
        <v>3253.18</v>
      </c>
      <c r="E48" s="109">
        <f t="shared" si="0"/>
        <v>-7.3801389363398306E-2</v>
      </c>
      <c r="F48" s="140"/>
      <c r="I48" s="133"/>
      <c r="J48" s="134"/>
      <c r="K48" s="135"/>
      <c r="L48" s="135"/>
      <c r="M48" s="135"/>
      <c r="N48" s="136"/>
      <c r="O48" s="137"/>
    </row>
    <row r="49" spans="1:15" ht="15" x14ac:dyDescent="0.3">
      <c r="A49" s="140">
        <v>44562</v>
      </c>
      <c r="B49" s="102">
        <v>8395.4</v>
      </c>
      <c r="C49" s="109">
        <f t="shared" si="1"/>
        <v>-1.8250453288946034E-3</v>
      </c>
      <c r="D49" s="102">
        <v>3512.4</v>
      </c>
      <c r="E49" s="109">
        <f t="shared" si="0"/>
        <v>-2.3427290875423279E-2</v>
      </c>
      <c r="F49" s="140"/>
      <c r="I49" s="133"/>
      <c r="J49" s="138"/>
      <c r="K49" s="135"/>
      <c r="L49" s="135"/>
      <c r="M49" s="135"/>
      <c r="N49" s="136"/>
      <c r="O49" s="139"/>
    </row>
    <row r="50" spans="1:15" ht="15" x14ac:dyDescent="0.3">
      <c r="A50" s="140">
        <v>44531</v>
      </c>
      <c r="B50" s="102">
        <v>8410.75</v>
      </c>
      <c r="C50" s="109">
        <f t="shared" si="1"/>
        <v>2.7417758938714565E-2</v>
      </c>
      <c r="D50" s="102">
        <v>3596.66</v>
      </c>
      <c r="E50" s="109">
        <f t="shared" si="0"/>
        <v>8.515852608733443E-3</v>
      </c>
      <c r="F50" s="140"/>
      <c r="I50" s="133"/>
      <c r="J50" s="138"/>
      <c r="K50" s="135"/>
      <c r="L50" s="135"/>
      <c r="M50" s="135"/>
      <c r="N50" s="136"/>
      <c r="O50" s="139"/>
    </row>
    <row r="51" spans="1:15" ht="15" x14ac:dyDescent="0.3">
      <c r="A51" s="140">
        <v>44501</v>
      </c>
      <c r="B51" s="102">
        <v>8186.3</v>
      </c>
      <c r="C51" s="109">
        <f t="shared" si="1"/>
        <v>-3.8433076877899763E-2</v>
      </c>
      <c r="D51" s="102">
        <v>3566.29</v>
      </c>
      <c r="E51" s="109">
        <f t="shared" si="0"/>
        <v>-4.7636854795499728E-3</v>
      </c>
      <c r="F51" s="140"/>
      <c r="I51" s="133"/>
      <c r="J51" s="134"/>
      <c r="K51" s="135"/>
      <c r="L51" s="135"/>
      <c r="M51" s="135"/>
      <c r="N51" s="136"/>
      <c r="O51" s="137"/>
    </row>
    <row r="52" spans="1:15" ht="15" x14ac:dyDescent="0.3">
      <c r="A52" s="140">
        <v>44470</v>
      </c>
      <c r="B52" s="102">
        <v>8513.5</v>
      </c>
      <c r="C52" s="109">
        <f t="shared" si="1"/>
        <v>2.8380573892771155E-2</v>
      </c>
      <c r="D52" s="102">
        <v>3583.36</v>
      </c>
      <c r="E52" s="109">
        <f t="shared" si="0"/>
        <v>-9.2971807242334115E-2</v>
      </c>
      <c r="F52" s="140"/>
      <c r="I52" s="133"/>
      <c r="J52" s="138"/>
      <c r="K52" s="135"/>
      <c r="L52" s="135"/>
      <c r="M52" s="135"/>
      <c r="N52" s="136"/>
      <c r="O52" s="139"/>
    </row>
    <row r="53" spans="1:15" ht="15" x14ac:dyDescent="0.3">
      <c r="A53" s="140">
        <v>44440</v>
      </c>
      <c r="B53" s="102">
        <v>8278.5499999999993</v>
      </c>
      <c r="C53" s="109">
        <f t="shared" si="1"/>
        <v>0.10337267341512324</v>
      </c>
      <c r="D53" s="102">
        <v>3950.66</v>
      </c>
      <c r="E53" s="109">
        <f t="shared" si="0"/>
        <v>2.6334726663878261E-2</v>
      </c>
      <c r="F53" s="140"/>
      <c r="I53" s="133"/>
      <c r="J53" s="134"/>
      <c r="K53" s="135"/>
      <c r="L53" s="135"/>
      <c r="M53" s="135"/>
      <c r="N53" s="136"/>
      <c r="O53" s="137"/>
    </row>
    <row r="54" spans="1:15" ht="15" x14ac:dyDescent="0.3">
      <c r="A54" s="140">
        <v>44409</v>
      </c>
      <c r="B54" s="102">
        <v>7502.95</v>
      </c>
      <c r="C54" s="109">
        <f t="shared" si="1"/>
        <v>-2.0297973467042651E-2</v>
      </c>
      <c r="D54" s="102">
        <v>3849.29</v>
      </c>
      <c r="E54" s="109">
        <f t="shared" si="0"/>
        <v>0.12306053975200593</v>
      </c>
      <c r="F54" s="140"/>
      <c r="I54" s="133"/>
      <c r="J54" s="134"/>
      <c r="K54" s="135"/>
      <c r="L54" s="135"/>
      <c r="M54" s="135"/>
      <c r="N54" s="136"/>
      <c r="O54" s="137"/>
    </row>
    <row r="55" spans="1:15" ht="15" x14ac:dyDescent="0.3">
      <c r="A55" s="140">
        <v>44378</v>
      </c>
      <c r="B55" s="102">
        <v>7658.4</v>
      </c>
      <c r="C55" s="109">
        <f t="shared" si="1"/>
        <v>2.4562530101139846E-2</v>
      </c>
      <c r="D55" s="102">
        <v>3427.5</v>
      </c>
      <c r="E55" s="109">
        <f t="shared" si="0"/>
        <v>7.9469760674231615E-2</v>
      </c>
      <c r="F55" s="140"/>
      <c r="I55" s="133"/>
      <c r="J55" s="134"/>
      <c r="K55" s="135"/>
      <c r="L55" s="135"/>
      <c r="M55" s="135"/>
      <c r="N55" s="136"/>
      <c r="O55" s="137"/>
    </row>
    <row r="56" spans="1:15" ht="15" x14ac:dyDescent="0.3">
      <c r="A56" s="140">
        <v>44348</v>
      </c>
      <c r="B56" s="102">
        <v>7474.8</v>
      </c>
      <c r="C56" s="109">
        <f t="shared" si="1"/>
        <v>3.7323841045816986E-2</v>
      </c>
      <c r="D56" s="102">
        <v>3175.17</v>
      </c>
      <c r="E56" s="109">
        <f t="shared" si="0"/>
        <v>7.0302466451606316E-2</v>
      </c>
      <c r="F56" s="140"/>
      <c r="I56" s="133"/>
      <c r="J56" s="134"/>
      <c r="K56" s="135"/>
      <c r="L56" s="135"/>
      <c r="M56" s="135"/>
      <c r="N56" s="136"/>
      <c r="O56" s="137"/>
    </row>
    <row r="57" spans="1:15" ht="15" x14ac:dyDescent="0.3">
      <c r="A57" s="140">
        <v>44317</v>
      </c>
      <c r="B57" s="102">
        <v>7205.85</v>
      </c>
      <c r="C57" s="109">
        <f t="shared" si="1"/>
        <v>7.1469993457443648E-2</v>
      </c>
      <c r="D57" s="102">
        <v>2966.61</v>
      </c>
      <c r="E57" s="109">
        <f t="shared" si="0"/>
        <v>8.3416112774815643E-2</v>
      </c>
      <c r="F57" s="140"/>
      <c r="I57" s="133"/>
      <c r="J57" s="134"/>
      <c r="K57" s="135"/>
      <c r="L57" s="135"/>
      <c r="M57" s="135"/>
      <c r="N57" s="136"/>
      <c r="O57" s="137"/>
    </row>
    <row r="58" spans="1:15" ht="15" x14ac:dyDescent="0.3">
      <c r="A58" s="140">
        <v>44287</v>
      </c>
      <c r="B58" s="102">
        <v>6725.2</v>
      </c>
      <c r="C58" s="109">
        <f t="shared" si="1"/>
        <v>-6.9254736344709356E-3</v>
      </c>
      <c r="D58" s="102">
        <v>2738.2</v>
      </c>
      <c r="E58" s="109">
        <f t="shared" si="0"/>
        <v>-3.8815949826656038E-3</v>
      </c>
      <c r="F58" s="140"/>
      <c r="I58" s="133"/>
      <c r="J58" s="134"/>
      <c r="K58" s="135"/>
      <c r="L58" s="135"/>
      <c r="M58" s="135"/>
      <c r="N58" s="136"/>
      <c r="O58" s="137"/>
    </row>
    <row r="59" spans="1:15" ht="15" x14ac:dyDescent="0.3">
      <c r="A59" s="140">
        <v>44256</v>
      </c>
      <c r="B59" s="102">
        <v>6772.1</v>
      </c>
      <c r="C59" s="109">
        <f t="shared" si="1"/>
        <v>-3.5900831310232695E-3</v>
      </c>
      <c r="D59" s="102">
        <v>2748.87</v>
      </c>
      <c r="E59" s="109">
        <f t="shared" si="0"/>
        <v>1.7542236107614961E-2</v>
      </c>
      <c r="F59" s="140"/>
      <c r="I59" s="133"/>
      <c r="J59" s="138"/>
      <c r="K59" s="135"/>
      <c r="L59" s="135"/>
      <c r="M59" s="135"/>
      <c r="N59" s="136"/>
      <c r="O59" s="139"/>
    </row>
    <row r="60" spans="1:15" ht="15" x14ac:dyDescent="0.3">
      <c r="A60" s="140">
        <v>44228</v>
      </c>
      <c r="B60" s="102">
        <v>6796.5</v>
      </c>
      <c r="C60" s="109">
        <f t="shared" si="1"/>
        <v>0.13224992295069682</v>
      </c>
      <c r="D60" s="102">
        <v>2701.48</v>
      </c>
      <c r="E60" s="109">
        <f t="shared" si="0"/>
        <v>-9.4745025500800772E-2</v>
      </c>
      <c r="F60" s="140"/>
      <c r="I60" s="133"/>
      <c r="J60" s="134"/>
      <c r="K60" s="135"/>
      <c r="L60" s="135"/>
      <c r="M60" s="135"/>
      <c r="N60" s="136"/>
      <c r="O60" s="137"/>
    </row>
    <row r="61" spans="1:15" ht="15" x14ac:dyDescent="0.3">
      <c r="A61" s="140">
        <v>44197</v>
      </c>
      <c r="B61" s="102">
        <v>6002.65</v>
      </c>
      <c r="C61" s="109">
        <f t="shared" si="1"/>
        <v>2.2145216769403619E-2</v>
      </c>
      <c r="D61" s="102">
        <v>2984.22</v>
      </c>
      <c r="E61" s="109">
        <f t="shared" si="0"/>
        <v>2.759565852180379E-2</v>
      </c>
      <c r="F61" s="140"/>
      <c r="I61" s="133"/>
      <c r="J61" s="134"/>
      <c r="K61" s="135"/>
      <c r="L61" s="135"/>
      <c r="M61" s="135"/>
      <c r="N61" s="136"/>
      <c r="O61" s="137"/>
    </row>
    <row r="62" spans="1:15" ht="15" x14ac:dyDescent="0.3">
      <c r="A62" s="140">
        <v>44166</v>
      </c>
      <c r="B62" s="102">
        <v>5872.6</v>
      </c>
      <c r="C62" s="109">
        <f t="shared" si="1"/>
        <v>5.6622105471491269E-2</v>
      </c>
      <c r="D62" s="102">
        <v>2904.08</v>
      </c>
      <c r="E62" s="109">
        <f t="shared" si="0"/>
        <v>2.9753525496689859E-2</v>
      </c>
      <c r="F62" s="140"/>
      <c r="I62" s="133"/>
      <c r="J62" s="138"/>
      <c r="K62" s="135"/>
      <c r="L62" s="135"/>
      <c r="M62" s="135"/>
      <c r="N62" s="136"/>
      <c r="O62" s="139"/>
    </row>
    <row r="63" spans="1:15" ht="15" x14ac:dyDescent="0.3">
      <c r="A63" s="140">
        <v>44136</v>
      </c>
      <c r="B63" s="102">
        <v>5557.9</v>
      </c>
      <c r="C63" s="109">
        <f t="shared" si="1"/>
        <v>0.19113597153909612</v>
      </c>
      <c r="D63" s="102">
        <v>2820.17</v>
      </c>
      <c r="E63" s="109">
        <f t="shared" si="0"/>
        <v>7.8710521383573262E-2</v>
      </c>
      <c r="F63" s="140"/>
      <c r="I63" s="133"/>
      <c r="J63" s="134"/>
      <c r="K63" s="135"/>
      <c r="L63" s="135"/>
      <c r="M63" s="135"/>
      <c r="N63" s="136"/>
      <c r="O63" s="137"/>
    </row>
    <row r="64" spans="1:15" ht="15" x14ac:dyDescent="0.3">
      <c r="A64" s="140">
        <v>44105</v>
      </c>
      <c r="B64" s="102">
        <v>4666.05</v>
      </c>
      <c r="C64" s="109">
        <f t="shared" si="1"/>
        <v>-1.0714553578128339E-4</v>
      </c>
      <c r="D64" s="102">
        <v>2614.39</v>
      </c>
      <c r="E64" s="109">
        <f t="shared" si="0"/>
        <v>-5.1709316454777943E-2</v>
      </c>
      <c r="F64" s="140"/>
      <c r="I64" s="133"/>
      <c r="J64" s="134"/>
      <c r="K64" s="135"/>
      <c r="L64" s="135"/>
      <c r="M64" s="135"/>
      <c r="N64" s="136"/>
      <c r="O64" s="137"/>
    </row>
    <row r="65" spans="1:15" ht="15" x14ac:dyDescent="0.3">
      <c r="A65" s="140">
        <v>44075</v>
      </c>
      <c r="B65" s="102">
        <v>4666.55</v>
      </c>
      <c r="C65" s="141">
        <v>0</v>
      </c>
      <c r="D65" s="102">
        <v>2756.95</v>
      </c>
      <c r="E65" s="141">
        <v>0</v>
      </c>
      <c r="F65" s="140"/>
      <c r="I65" s="133"/>
      <c r="J65" s="134"/>
      <c r="K65" s="135"/>
      <c r="L65" s="135"/>
      <c r="M65" s="135"/>
      <c r="N65" s="136"/>
      <c r="O65" s="137"/>
    </row>
    <row r="66" spans="1:15" ht="13.8" x14ac:dyDescent="0.3">
      <c r="A66" s="101"/>
      <c r="B66" s="102"/>
      <c r="D66" s="102"/>
    </row>
    <row r="67" spans="1:15" ht="13.8" x14ac:dyDescent="0.3">
      <c r="A67" s="101"/>
      <c r="B67" s="102"/>
      <c r="D67" s="102"/>
    </row>
    <row r="68" spans="1:15" ht="13.8" x14ac:dyDescent="0.3">
      <c r="A68" s="101"/>
      <c r="B68" s="102"/>
      <c r="D68" s="102"/>
    </row>
    <row r="69" spans="1:15" ht="13.8" x14ac:dyDescent="0.3">
      <c r="A69" s="101"/>
      <c r="B69" s="102"/>
      <c r="D69" s="102"/>
    </row>
    <row r="70" spans="1:15" ht="13.8" x14ac:dyDescent="0.3">
      <c r="A70" s="101"/>
      <c r="B70" s="102"/>
      <c r="D70" s="102"/>
    </row>
    <row r="71" spans="1:15" ht="13.8" x14ac:dyDescent="0.3">
      <c r="A71" s="101"/>
      <c r="B71" s="102"/>
      <c r="D71" s="102"/>
    </row>
    <row r="72" spans="1:15" ht="13.8" x14ac:dyDescent="0.3">
      <c r="A72" s="101"/>
      <c r="B72" s="102"/>
      <c r="D72" s="102"/>
    </row>
    <row r="73" spans="1:15" ht="13.8" x14ac:dyDescent="0.3">
      <c r="A73" s="101"/>
      <c r="B73" s="102"/>
      <c r="D73" s="102"/>
    </row>
    <row r="74" spans="1:15" ht="13.8" x14ac:dyDescent="0.3">
      <c r="A74" s="101"/>
      <c r="B74" s="102"/>
      <c r="D74" s="102"/>
    </row>
    <row r="75" spans="1:15" ht="13.8" x14ac:dyDescent="0.3">
      <c r="A75" s="101"/>
      <c r="B75" s="102"/>
      <c r="D75" s="102"/>
    </row>
    <row r="76" spans="1:15" ht="13.8" x14ac:dyDescent="0.3">
      <c r="A76" s="101"/>
      <c r="B76" s="102"/>
      <c r="D76" s="102"/>
    </row>
    <row r="77" spans="1:15" ht="13.8" x14ac:dyDescent="0.3">
      <c r="A77" s="101"/>
      <c r="B77" s="102"/>
      <c r="D77" s="102"/>
    </row>
    <row r="78" spans="1:15" ht="13.8" x14ac:dyDescent="0.3">
      <c r="A78" s="101"/>
      <c r="B78" s="102"/>
      <c r="D78" s="102"/>
    </row>
    <row r="79" spans="1:15" ht="13.8" x14ac:dyDescent="0.3">
      <c r="A79" s="101"/>
      <c r="B79" s="102"/>
      <c r="D79" s="102"/>
    </row>
    <row r="80" spans="1:15" ht="13.8" x14ac:dyDescent="0.3">
      <c r="A80" s="101"/>
      <c r="B80" s="102"/>
      <c r="D80" s="102"/>
    </row>
    <row r="81" spans="1:4" ht="13.8" x14ac:dyDescent="0.3">
      <c r="A81" s="101"/>
      <c r="B81" s="102"/>
      <c r="D81" s="102"/>
    </row>
    <row r="82" spans="1:4" ht="13.8" x14ac:dyDescent="0.3">
      <c r="A82" s="101"/>
      <c r="B82" s="102"/>
      <c r="D82" s="102"/>
    </row>
    <row r="83" spans="1:4" ht="13.8" x14ac:dyDescent="0.3">
      <c r="A83" s="101"/>
      <c r="B83" s="102"/>
      <c r="D83" s="102"/>
    </row>
    <row r="84" spans="1:4" ht="13.8" x14ac:dyDescent="0.3">
      <c r="A84" s="101"/>
      <c r="B84" s="102"/>
      <c r="D84" s="102"/>
    </row>
    <row r="85" spans="1:4" ht="13.8" x14ac:dyDescent="0.3">
      <c r="A85" s="101"/>
      <c r="B85" s="102"/>
      <c r="D85" s="102"/>
    </row>
    <row r="86" spans="1:4" ht="13.8" x14ac:dyDescent="0.3">
      <c r="A86" s="101"/>
      <c r="B86" s="102"/>
      <c r="D86" s="102"/>
    </row>
    <row r="87" spans="1:4" ht="13.8" x14ac:dyDescent="0.3">
      <c r="A87" s="101"/>
      <c r="B87" s="102"/>
      <c r="D87" s="102"/>
    </row>
    <row r="88" spans="1:4" ht="13.8" x14ac:dyDescent="0.3">
      <c r="A88" s="101"/>
      <c r="B88" s="102"/>
      <c r="D88" s="102"/>
    </row>
    <row r="89" spans="1:4" ht="13.8" x14ac:dyDescent="0.3">
      <c r="A89" s="101"/>
      <c r="B89" s="102"/>
      <c r="D89" s="102"/>
    </row>
    <row r="90" spans="1:4" ht="13.8" x14ac:dyDescent="0.3">
      <c r="A90" s="101"/>
      <c r="B90" s="102"/>
      <c r="D90" s="102"/>
    </row>
    <row r="91" spans="1:4" ht="13.8" x14ac:dyDescent="0.3">
      <c r="A91" s="101"/>
      <c r="B91" s="102"/>
      <c r="D91" s="102"/>
    </row>
    <row r="92" spans="1:4" ht="13.8" x14ac:dyDescent="0.3">
      <c r="A92" s="101"/>
      <c r="B92" s="102"/>
      <c r="D92" s="102"/>
    </row>
    <row r="93" spans="1:4" ht="13.8" x14ac:dyDescent="0.3">
      <c r="A93" s="101"/>
      <c r="B93" s="102"/>
      <c r="D93" s="102"/>
    </row>
    <row r="94" spans="1:4" ht="13.8" x14ac:dyDescent="0.3">
      <c r="A94" s="101"/>
      <c r="B94" s="102"/>
      <c r="D94" s="102"/>
    </row>
    <row r="95" spans="1:4" ht="13.8" x14ac:dyDescent="0.3">
      <c r="A95" s="101"/>
      <c r="B95" s="102"/>
      <c r="D95" s="102"/>
    </row>
    <row r="96" spans="1:4" ht="13.8" x14ac:dyDescent="0.3">
      <c r="A96" s="101"/>
      <c r="B96" s="102"/>
      <c r="D96" s="102"/>
    </row>
    <row r="97" spans="1:4" ht="13.8" x14ac:dyDescent="0.3">
      <c r="A97" s="101"/>
      <c r="B97" s="102"/>
      <c r="D97" s="102"/>
    </row>
    <row r="98" spans="1:4" ht="13.8" x14ac:dyDescent="0.3">
      <c r="A98" s="101"/>
      <c r="B98" s="102"/>
      <c r="D98" s="102"/>
    </row>
    <row r="99" spans="1:4" ht="13.8" x14ac:dyDescent="0.3">
      <c r="A99" s="101"/>
      <c r="B99" s="102"/>
      <c r="D99" s="102"/>
    </row>
    <row r="100" spans="1:4" ht="13.8" x14ac:dyDescent="0.3">
      <c r="A100" s="101"/>
      <c r="B100" s="102"/>
      <c r="D100" s="102"/>
    </row>
    <row r="101" spans="1:4" ht="13.8" x14ac:dyDescent="0.3">
      <c r="A101" s="101"/>
      <c r="B101" s="102"/>
      <c r="D101" s="102"/>
    </row>
    <row r="102" spans="1:4" ht="13.8" x14ac:dyDescent="0.3">
      <c r="A102" s="101"/>
      <c r="B102" s="102"/>
      <c r="D102" s="102"/>
    </row>
    <row r="103" spans="1:4" ht="13.8" x14ac:dyDescent="0.3">
      <c r="A103" s="101"/>
      <c r="B103" s="102"/>
      <c r="D103" s="102"/>
    </row>
    <row r="104" spans="1:4" ht="13.8" x14ac:dyDescent="0.3">
      <c r="A104" s="101"/>
      <c r="B104" s="102"/>
      <c r="D104" s="102"/>
    </row>
    <row r="105" spans="1:4" ht="13.8" x14ac:dyDescent="0.3">
      <c r="A105" s="101"/>
      <c r="B105" s="102"/>
      <c r="D105" s="102"/>
    </row>
    <row r="106" spans="1:4" ht="13.8" x14ac:dyDescent="0.3">
      <c r="A106" s="101"/>
      <c r="B106" s="102"/>
      <c r="D106" s="102"/>
    </row>
    <row r="107" spans="1:4" ht="13.8" x14ac:dyDescent="0.3">
      <c r="A107" s="101"/>
      <c r="B107" s="102"/>
      <c r="D107" s="102"/>
    </row>
    <row r="108" spans="1:4" ht="13.8" x14ac:dyDescent="0.3">
      <c r="A108" s="101"/>
      <c r="B108" s="102"/>
      <c r="D108" s="102"/>
    </row>
    <row r="109" spans="1:4" ht="13.8" x14ac:dyDescent="0.3">
      <c r="A109" s="101"/>
      <c r="B109" s="102"/>
      <c r="D109" s="102"/>
    </row>
    <row r="110" spans="1:4" ht="13.8" x14ac:dyDescent="0.3">
      <c r="A110" s="101"/>
      <c r="B110" s="102"/>
      <c r="D110" s="102"/>
    </row>
    <row r="111" spans="1:4" ht="13.8" x14ac:dyDescent="0.3">
      <c r="A111" s="101"/>
      <c r="B111" s="102"/>
      <c r="D111" s="102"/>
    </row>
    <row r="112" spans="1:4" ht="13.8" x14ac:dyDescent="0.3">
      <c r="A112" s="101"/>
      <c r="B112" s="102"/>
      <c r="D112" s="102"/>
    </row>
    <row r="113" spans="1:4" ht="13.8" x14ac:dyDescent="0.3">
      <c r="A113" s="101"/>
      <c r="B113" s="102"/>
      <c r="D113" s="102"/>
    </row>
    <row r="114" spans="1:4" ht="13.8" x14ac:dyDescent="0.3">
      <c r="A114" s="101"/>
      <c r="B114" s="102"/>
      <c r="D114" s="102"/>
    </row>
    <row r="115" spans="1:4" ht="13.8" x14ac:dyDescent="0.3">
      <c r="A115" s="101"/>
      <c r="B115" s="102"/>
      <c r="D115" s="102"/>
    </row>
    <row r="116" spans="1:4" ht="13.8" x14ac:dyDescent="0.3">
      <c r="A116" s="101"/>
      <c r="B116" s="102"/>
      <c r="D116" s="102"/>
    </row>
    <row r="117" spans="1:4" ht="13.8" x14ac:dyDescent="0.3">
      <c r="A117" s="101"/>
      <c r="B117" s="102"/>
      <c r="D117" s="102"/>
    </row>
    <row r="118" spans="1:4" ht="13.8" x14ac:dyDescent="0.3">
      <c r="A118" s="101"/>
      <c r="B118" s="102"/>
      <c r="D118" s="102"/>
    </row>
    <row r="119" spans="1:4" ht="13.8" x14ac:dyDescent="0.3">
      <c r="A119" s="101"/>
      <c r="B119" s="102"/>
      <c r="D119" s="102"/>
    </row>
    <row r="120" spans="1:4" ht="13.8" x14ac:dyDescent="0.3">
      <c r="A120" s="101"/>
      <c r="B120" s="102"/>
      <c r="D120" s="102"/>
    </row>
    <row r="121" spans="1:4" ht="13.8" x14ac:dyDescent="0.3">
      <c r="A121" s="101"/>
      <c r="B121" s="102"/>
      <c r="D121" s="102"/>
    </row>
    <row r="122" spans="1:4" ht="13.8" x14ac:dyDescent="0.3">
      <c r="A122" s="101"/>
      <c r="B122" s="102"/>
      <c r="D122" s="102"/>
    </row>
    <row r="123" spans="1:4" ht="13.8" x14ac:dyDescent="0.3">
      <c r="A123" s="101"/>
      <c r="B123" s="102"/>
      <c r="D123" s="102"/>
    </row>
    <row r="124" spans="1:4" ht="13.8" x14ac:dyDescent="0.3">
      <c r="A124" s="101"/>
      <c r="B124" s="102"/>
      <c r="D124" s="102"/>
    </row>
    <row r="125" spans="1:4" ht="13.8" x14ac:dyDescent="0.3">
      <c r="A125" s="101"/>
      <c r="B125" s="102"/>
      <c r="D125" s="102"/>
    </row>
    <row r="126" spans="1:4" ht="13.8" x14ac:dyDescent="0.3">
      <c r="A126" s="101"/>
      <c r="B126" s="102"/>
      <c r="D126" s="102"/>
    </row>
    <row r="127" spans="1:4" ht="13.8" x14ac:dyDescent="0.3">
      <c r="A127" s="101"/>
      <c r="B127" s="102"/>
      <c r="D127" s="102"/>
    </row>
    <row r="128" spans="1:4" ht="13.8" x14ac:dyDescent="0.3">
      <c r="A128" s="101"/>
      <c r="B128" s="102"/>
      <c r="D128" s="102"/>
    </row>
    <row r="129" spans="1:4" ht="13.8" x14ac:dyDescent="0.3">
      <c r="A129" s="101"/>
      <c r="B129" s="102"/>
      <c r="D129" s="102"/>
    </row>
    <row r="130" spans="1:4" ht="13.8" x14ac:dyDescent="0.3">
      <c r="A130" s="101"/>
      <c r="B130" s="102"/>
      <c r="D130" s="102"/>
    </row>
    <row r="131" spans="1:4" ht="13.8" x14ac:dyDescent="0.3">
      <c r="A131" s="101"/>
      <c r="B131" s="102"/>
      <c r="D131" s="102"/>
    </row>
    <row r="132" spans="1:4" ht="13.8" x14ac:dyDescent="0.3">
      <c r="A132" s="101"/>
      <c r="B132" s="102"/>
      <c r="D132" s="102"/>
    </row>
    <row r="133" spans="1:4" ht="13.8" x14ac:dyDescent="0.3">
      <c r="A133" s="101"/>
      <c r="B133" s="102"/>
      <c r="D133" s="102"/>
    </row>
    <row r="134" spans="1:4" ht="13.8" x14ac:dyDescent="0.3">
      <c r="A134" s="101"/>
      <c r="B134" s="102"/>
      <c r="D134" s="102"/>
    </row>
    <row r="135" spans="1:4" ht="13.8" x14ac:dyDescent="0.3">
      <c r="A135" s="101"/>
      <c r="B135" s="102"/>
      <c r="D135" s="102"/>
    </row>
    <row r="136" spans="1:4" ht="13.8" x14ac:dyDescent="0.3">
      <c r="A136" s="101"/>
      <c r="B136" s="102"/>
      <c r="D136" s="102"/>
    </row>
    <row r="137" spans="1:4" ht="13.8" x14ac:dyDescent="0.3">
      <c r="A137" s="101"/>
      <c r="B137" s="102"/>
      <c r="D137" s="102"/>
    </row>
    <row r="138" spans="1:4" ht="13.8" x14ac:dyDescent="0.3">
      <c r="A138" s="101"/>
      <c r="B138" s="102"/>
      <c r="D138" s="102"/>
    </row>
    <row r="139" spans="1:4" ht="13.8" x14ac:dyDescent="0.3">
      <c r="A139" s="101"/>
      <c r="B139" s="102"/>
      <c r="D139" s="102"/>
    </row>
    <row r="140" spans="1:4" ht="13.8" x14ac:dyDescent="0.3">
      <c r="A140" s="101"/>
      <c r="B140" s="102"/>
      <c r="D140" s="102"/>
    </row>
    <row r="141" spans="1:4" ht="13.8" x14ac:dyDescent="0.3">
      <c r="A141" s="101"/>
      <c r="B141" s="102"/>
      <c r="D141" s="102"/>
    </row>
    <row r="142" spans="1:4" ht="13.8" x14ac:dyDescent="0.3">
      <c r="A142" s="101"/>
      <c r="B142" s="102"/>
      <c r="D142" s="102"/>
    </row>
    <row r="143" spans="1:4" ht="13.8" x14ac:dyDescent="0.3">
      <c r="A143" s="101"/>
      <c r="B143" s="102"/>
      <c r="D143" s="102"/>
    </row>
    <row r="144" spans="1:4" ht="13.8" x14ac:dyDescent="0.3">
      <c r="A144" s="101"/>
      <c r="B144" s="102"/>
      <c r="D144" s="102"/>
    </row>
    <row r="145" spans="1:4" ht="13.8" x14ac:dyDescent="0.3">
      <c r="A145" s="101"/>
      <c r="B145" s="102"/>
      <c r="D145" s="102"/>
    </row>
    <row r="146" spans="1:4" ht="13.8" x14ac:dyDescent="0.3">
      <c r="A146" s="101"/>
      <c r="B146" s="102"/>
      <c r="D146" s="102"/>
    </row>
    <row r="147" spans="1:4" ht="13.8" x14ac:dyDescent="0.3">
      <c r="A147" s="101"/>
      <c r="B147" s="102"/>
      <c r="D147" s="102"/>
    </row>
    <row r="148" spans="1:4" ht="13.8" x14ac:dyDescent="0.3">
      <c r="A148" s="101"/>
      <c r="B148" s="102"/>
      <c r="D148" s="102"/>
    </row>
    <row r="149" spans="1:4" ht="13.8" x14ac:dyDescent="0.3">
      <c r="A149" s="101"/>
      <c r="B149" s="102"/>
      <c r="D149" s="102"/>
    </row>
    <row r="150" spans="1:4" ht="13.8" x14ac:dyDescent="0.3">
      <c r="A150" s="101"/>
      <c r="B150" s="102"/>
      <c r="D150" s="102"/>
    </row>
    <row r="151" spans="1:4" ht="13.8" x14ac:dyDescent="0.3">
      <c r="A151" s="101"/>
      <c r="B151" s="102"/>
      <c r="D151" s="102"/>
    </row>
    <row r="152" spans="1:4" ht="13.8" x14ac:dyDescent="0.3">
      <c r="A152" s="101"/>
      <c r="B152" s="102"/>
      <c r="D152" s="102"/>
    </row>
    <row r="153" spans="1:4" ht="13.8" x14ac:dyDescent="0.3">
      <c r="A153" s="101"/>
      <c r="B153" s="102"/>
      <c r="D153" s="102"/>
    </row>
    <row r="154" spans="1:4" ht="13.8" x14ac:dyDescent="0.3">
      <c r="A154" s="101"/>
      <c r="B154" s="102"/>
      <c r="D154" s="102"/>
    </row>
    <row r="155" spans="1:4" ht="13.8" x14ac:dyDescent="0.3">
      <c r="A155" s="101"/>
      <c r="B155" s="102"/>
      <c r="D155" s="102"/>
    </row>
    <row r="156" spans="1:4" ht="13.8" x14ac:dyDescent="0.3">
      <c r="A156" s="101"/>
      <c r="B156" s="102"/>
      <c r="D156" s="102"/>
    </row>
    <row r="157" spans="1:4" ht="13.8" x14ac:dyDescent="0.3">
      <c r="A157" s="101"/>
      <c r="B157" s="102"/>
      <c r="D157" s="102"/>
    </row>
    <row r="158" spans="1:4" ht="13.8" x14ac:dyDescent="0.3">
      <c r="A158" s="101"/>
      <c r="B158" s="102"/>
      <c r="D158" s="102"/>
    </row>
    <row r="159" spans="1:4" ht="13.8" x14ac:dyDescent="0.3">
      <c r="A159" s="101"/>
      <c r="B159" s="102"/>
      <c r="D159" s="102"/>
    </row>
    <row r="160" spans="1:4" ht="13.8" x14ac:dyDescent="0.3">
      <c r="A160" s="101"/>
      <c r="B160" s="102"/>
      <c r="D160" s="102"/>
    </row>
    <row r="161" spans="1:4" ht="13.8" x14ac:dyDescent="0.3">
      <c r="A161" s="101"/>
      <c r="B161" s="102"/>
      <c r="D161" s="102"/>
    </row>
    <row r="162" spans="1:4" ht="13.8" x14ac:dyDescent="0.3">
      <c r="A162" s="101"/>
      <c r="B162" s="102"/>
      <c r="D162" s="102"/>
    </row>
    <row r="163" spans="1:4" ht="13.8" x14ac:dyDescent="0.3">
      <c r="A163" s="101"/>
      <c r="B163" s="102"/>
      <c r="D163" s="102"/>
    </row>
    <row r="164" spans="1:4" ht="13.8" x14ac:dyDescent="0.3">
      <c r="A164" s="101"/>
      <c r="B164" s="102"/>
      <c r="D164" s="102"/>
    </row>
    <row r="165" spans="1:4" ht="13.8" x14ac:dyDescent="0.3">
      <c r="A165" s="101"/>
      <c r="B165" s="102"/>
      <c r="D165" s="102"/>
    </row>
    <row r="166" spans="1:4" ht="13.8" x14ac:dyDescent="0.3">
      <c r="A166" s="101"/>
      <c r="B166" s="102"/>
      <c r="D166" s="102"/>
    </row>
    <row r="167" spans="1:4" ht="13.8" x14ac:dyDescent="0.3">
      <c r="A167" s="101"/>
      <c r="B167" s="102"/>
      <c r="D167" s="102"/>
    </row>
    <row r="168" spans="1:4" ht="13.8" x14ac:dyDescent="0.3">
      <c r="A168" s="101"/>
      <c r="B168" s="102"/>
      <c r="D168" s="102"/>
    </row>
    <row r="169" spans="1:4" ht="13.8" x14ac:dyDescent="0.3">
      <c r="A169" s="101"/>
      <c r="B169" s="102"/>
      <c r="D169" s="102"/>
    </row>
    <row r="170" spans="1:4" ht="13.8" x14ac:dyDescent="0.3">
      <c r="A170" s="101"/>
      <c r="B170" s="102"/>
      <c r="D170" s="102"/>
    </row>
    <row r="171" spans="1:4" ht="13.8" x14ac:dyDescent="0.3">
      <c r="A171" s="101"/>
      <c r="B171" s="102"/>
      <c r="D171" s="102"/>
    </row>
    <row r="172" spans="1:4" ht="13.8" x14ac:dyDescent="0.3">
      <c r="A172" s="101"/>
      <c r="B172" s="102"/>
      <c r="D172" s="102"/>
    </row>
    <row r="173" spans="1:4" ht="13.8" x14ac:dyDescent="0.3">
      <c r="A173" s="101"/>
      <c r="B173" s="102"/>
      <c r="D173" s="102"/>
    </row>
    <row r="174" spans="1:4" ht="13.8" x14ac:dyDescent="0.3">
      <c r="A174" s="101"/>
      <c r="B174" s="102"/>
      <c r="D174" s="102"/>
    </row>
    <row r="175" spans="1:4" ht="13.8" x14ac:dyDescent="0.3">
      <c r="A175" s="101"/>
      <c r="B175" s="102"/>
      <c r="D175" s="102"/>
    </row>
    <row r="176" spans="1:4" ht="13.8" x14ac:dyDescent="0.3">
      <c r="A176" s="101"/>
      <c r="B176" s="102"/>
      <c r="D176" s="102"/>
    </row>
    <row r="177" spans="1:4" ht="13.8" x14ac:dyDescent="0.3">
      <c r="A177" s="101"/>
      <c r="B177" s="102"/>
      <c r="D177" s="102"/>
    </row>
    <row r="178" spans="1:4" ht="13.8" x14ac:dyDescent="0.3">
      <c r="A178" s="101"/>
      <c r="B178" s="102"/>
      <c r="D178" s="102"/>
    </row>
    <row r="179" spans="1:4" ht="13.8" x14ac:dyDescent="0.3">
      <c r="A179" s="101"/>
      <c r="B179" s="102"/>
      <c r="D179" s="102"/>
    </row>
    <row r="180" spans="1:4" ht="13.8" x14ac:dyDescent="0.3">
      <c r="A180" s="101"/>
      <c r="B180" s="102"/>
      <c r="D180" s="102"/>
    </row>
    <row r="181" spans="1:4" ht="13.8" x14ac:dyDescent="0.3">
      <c r="A181" s="101"/>
      <c r="B181" s="102"/>
      <c r="D181" s="102"/>
    </row>
    <row r="182" spans="1:4" ht="13.8" x14ac:dyDescent="0.3">
      <c r="A182" s="101"/>
      <c r="B182" s="102"/>
      <c r="D182" s="102"/>
    </row>
    <row r="183" spans="1:4" ht="13.8" x14ac:dyDescent="0.3">
      <c r="A183" s="101"/>
      <c r="B183" s="102"/>
      <c r="D183" s="102"/>
    </row>
    <row r="184" spans="1:4" ht="13.8" x14ac:dyDescent="0.3">
      <c r="A184" s="101"/>
      <c r="B184" s="102"/>
      <c r="D184" s="102"/>
    </row>
    <row r="185" spans="1:4" ht="13.8" x14ac:dyDescent="0.3">
      <c r="A185" s="101"/>
      <c r="B185" s="102"/>
      <c r="D185" s="102"/>
    </row>
    <row r="186" spans="1:4" ht="13.8" x14ac:dyDescent="0.3">
      <c r="A186" s="101"/>
      <c r="B186" s="102"/>
      <c r="D186" s="102"/>
    </row>
    <row r="187" spans="1:4" ht="13.8" x14ac:dyDescent="0.3">
      <c r="A187" s="101"/>
      <c r="B187" s="102"/>
      <c r="D187" s="102"/>
    </row>
    <row r="188" spans="1:4" ht="13.8" x14ac:dyDescent="0.3">
      <c r="A188" s="101"/>
      <c r="B188" s="102"/>
      <c r="D188" s="102"/>
    </row>
    <row r="189" spans="1:4" ht="13.8" x14ac:dyDescent="0.3">
      <c r="A189" s="101"/>
      <c r="B189" s="102"/>
      <c r="D189" s="102"/>
    </row>
    <row r="190" spans="1:4" ht="13.8" x14ac:dyDescent="0.3">
      <c r="A190" s="101"/>
      <c r="B190" s="102"/>
      <c r="D190" s="102"/>
    </row>
    <row r="191" spans="1:4" ht="13.8" x14ac:dyDescent="0.3">
      <c r="A191" s="101"/>
      <c r="B191" s="102"/>
      <c r="D191" s="102"/>
    </row>
    <row r="192" spans="1:4" ht="13.8" x14ac:dyDescent="0.3">
      <c r="A192" s="101"/>
      <c r="B192" s="102"/>
      <c r="D192" s="102"/>
    </row>
    <row r="193" spans="1:4" ht="13.8" x14ac:dyDescent="0.3">
      <c r="A193" s="101"/>
      <c r="B193" s="102"/>
      <c r="D193" s="102"/>
    </row>
    <row r="194" spans="1:4" ht="13.8" x14ac:dyDescent="0.3">
      <c r="A194" s="101"/>
      <c r="B194" s="102"/>
      <c r="D194" s="102"/>
    </row>
    <row r="195" spans="1:4" ht="13.8" x14ac:dyDescent="0.3">
      <c r="A195" s="101"/>
      <c r="B195" s="102"/>
      <c r="D195" s="102"/>
    </row>
    <row r="196" spans="1:4" ht="13.8" x14ac:dyDescent="0.3">
      <c r="A196" s="101"/>
      <c r="B196" s="102"/>
      <c r="D196" s="102"/>
    </row>
    <row r="197" spans="1:4" ht="13.8" x14ac:dyDescent="0.3">
      <c r="A197" s="101"/>
      <c r="B197" s="102"/>
      <c r="D197" s="102"/>
    </row>
    <row r="198" spans="1:4" ht="13.8" x14ac:dyDescent="0.3">
      <c r="A198" s="101"/>
      <c r="B198" s="102"/>
      <c r="D198" s="102"/>
    </row>
    <row r="199" spans="1:4" ht="13.8" x14ac:dyDescent="0.3">
      <c r="A199" s="101"/>
      <c r="B199" s="102"/>
      <c r="D199" s="102"/>
    </row>
    <row r="200" spans="1:4" ht="13.8" x14ac:dyDescent="0.3">
      <c r="A200" s="101"/>
      <c r="B200" s="102"/>
      <c r="D200" s="102"/>
    </row>
    <row r="201" spans="1:4" ht="13.8" x14ac:dyDescent="0.3">
      <c r="A201" s="101"/>
      <c r="B201" s="102"/>
      <c r="D201" s="102"/>
    </row>
    <row r="202" spans="1:4" ht="13.8" x14ac:dyDescent="0.3">
      <c r="A202" s="101"/>
      <c r="B202" s="102"/>
      <c r="D202" s="102"/>
    </row>
    <row r="203" spans="1:4" ht="13.8" x14ac:dyDescent="0.3">
      <c r="A203" s="101"/>
      <c r="B203" s="102"/>
      <c r="D203" s="102"/>
    </row>
    <row r="204" spans="1:4" ht="13.8" x14ac:dyDescent="0.3">
      <c r="A204" s="101"/>
      <c r="B204" s="102"/>
      <c r="D204" s="102"/>
    </row>
    <row r="205" spans="1:4" ht="13.8" x14ac:dyDescent="0.3">
      <c r="A205" s="101"/>
      <c r="B205" s="102"/>
      <c r="D205" s="102"/>
    </row>
    <row r="206" spans="1:4" ht="13.8" x14ac:dyDescent="0.3">
      <c r="A206" s="101"/>
      <c r="B206" s="102"/>
      <c r="D206" s="102"/>
    </row>
    <row r="207" spans="1:4" ht="13.8" x14ac:dyDescent="0.3">
      <c r="A207" s="101"/>
      <c r="B207" s="102"/>
      <c r="D207" s="102"/>
    </row>
    <row r="208" spans="1:4" ht="13.8" x14ac:dyDescent="0.3">
      <c r="A208" s="101"/>
      <c r="B208" s="102"/>
      <c r="D208" s="102"/>
    </row>
    <row r="209" spans="1:4" ht="13.8" x14ac:dyDescent="0.3">
      <c r="A209" s="101"/>
      <c r="B209" s="102"/>
      <c r="D209" s="102"/>
    </row>
    <row r="210" spans="1:4" ht="13.8" x14ac:dyDescent="0.3">
      <c r="A210" s="101"/>
      <c r="B210" s="102"/>
      <c r="D210" s="102"/>
    </row>
    <row r="211" spans="1:4" ht="13.8" x14ac:dyDescent="0.3">
      <c r="A211" s="101"/>
      <c r="B211" s="102"/>
      <c r="D211" s="102"/>
    </row>
    <row r="212" spans="1:4" ht="13.8" x14ac:dyDescent="0.3">
      <c r="A212" s="101"/>
      <c r="B212" s="102"/>
      <c r="D212" s="102"/>
    </row>
    <row r="213" spans="1:4" ht="13.8" x14ac:dyDescent="0.3">
      <c r="A213" s="101"/>
      <c r="B213" s="102"/>
      <c r="D213" s="102"/>
    </row>
    <row r="214" spans="1:4" ht="13.8" x14ac:dyDescent="0.3">
      <c r="A214" s="101"/>
      <c r="B214" s="102"/>
      <c r="D214" s="102"/>
    </row>
    <row r="215" spans="1:4" ht="13.8" x14ac:dyDescent="0.3">
      <c r="A215" s="101"/>
      <c r="B215" s="102"/>
      <c r="D215" s="102"/>
    </row>
    <row r="216" spans="1:4" ht="13.8" x14ac:dyDescent="0.3">
      <c r="A216" s="101"/>
      <c r="B216" s="102"/>
      <c r="D216" s="102"/>
    </row>
    <row r="217" spans="1:4" ht="13.8" x14ac:dyDescent="0.3">
      <c r="A217" s="101"/>
      <c r="B217" s="102"/>
      <c r="D217" s="102"/>
    </row>
    <row r="218" spans="1:4" ht="13.8" x14ac:dyDescent="0.3">
      <c r="A218" s="101"/>
      <c r="B218" s="102"/>
      <c r="D218" s="102"/>
    </row>
    <row r="219" spans="1:4" ht="13.8" x14ac:dyDescent="0.3">
      <c r="A219" s="101"/>
      <c r="B219" s="102"/>
      <c r="D219" s="102"/>
    </row>
    <row r="220" spans="1:4" ht="13.8" x14ac:dyDescent="0.3">
      <c r="A220" s="101"/>
      <c r="B220" s="102"/>
      <c r="D220" s="102"/>
    </row>
    <row r="221" spans="1:4" ht="13.8" x14ac:dyDescent="0.3">
      <c r="A221" s="101"/>
      <c r="B221" s="102"/>
      <c r="D221" s="102"/>
    </row>
    <row r="222" spans="1:4" ht="13.8" x14ac:dyDescent="0.3">
      <c r="A222" s="101"/>
      <c r="B222" s="102"/>
      <c r="D222" s="102"/>
    </row>
    <row r="223" spans="1:4" ht="13.8" x14ac:dyDescent="0.3">
      <c r="A223" s="101"/>
      <c r="B223" s="102"/>
      <c r="D223" s="102"/>
    </row>
    <row r="224" spans="1:4" ht="13.8" x14ac:dyDescent="0.3">
      <c r="A224" s="101"/>
      <c r="B224" s="102"/>
      <c r="D224" s="102"/>
    </row>
    <row r="225" spans="1:4" ht="13.8" x14ac:dyDescent="0.3">
      <c r="A225" s="101"/>
      <c r="B225" s="102"/>
      <c r="D225" s="102"/>
    </row>
    <row r="226" spans="1:4" ht="13.8" x14ac:dyDescent="0.3">
      <c r="A226" s="101"/>
      <c r="B226" s="102"/>
      <c r="D226" s="102"/>
    </row>
    <row r="227" spans="1:4" ht="13.8" x14ac:dyDescent="0.3">
      <c r="A227" s="101"/>
      <c r="B227" s="102"/>
      <c r="D227" s="102"/>
    </row>
    <row r="228" spans="1:4" ht="13.8" x14ac:dyDescent="0.3">
      <c r="A228" s="101"/>
      <c r="B228" s="102"/>
      <c r="D228" s="102"/>
    </row>
    <row r="229" spans="1:4" ht="13.8" x14ac:dyDescent="0.3">
      <c r="A229" s="101"/>
      <c r="B229" s="102"/>
      <c r="D229" s="102"/>
    </row>
    <row r="230" spans="1:4" ht="13.8" x14ac:dyDescent="0.3">
      <c r="A230" s="101"/>
      <c r="B230" s="102"/>
      <c r="D230" s="102"/>
    </row>
    <row r="231" spans="1:4" ht="13.8" x14ac:dyDescent="0.3">
      <c r="A231" s="101"/>
      <c r="B231" s="102"/>
      <c r="D231" s="102"/>
    </row>
    <row r="232" spans="1:4" ht="13.8" x14ac:dyDescent="0.3">
      <c r="A232" s="101"/>
      <c r="B232" s="102"/>
      <c r="D232" s="102"/>
    </row>
    <row r="233" spans="1:4" ht="13.8" x14ac:dyDescent="0.3">
      <c r="A233" s="101"/>
      <c r="B233" s="102"/>
      <c r="D233" s="102"/>
    </row>
    <row r="234" spans="1:4" ht="13.8" x14ac:dyDescent="0.3">
      <c r="A234" s="101"/>
      <c r="B234" s="102"/>
      <c r="D234" s="102"/>
    </row>
    <row r="235" spans="1:4" ht="13.8" x14ac:dyDescent="0.3">
      <c r="A235" s="101"/>
      <c r="B235" s="102"/>
      <c r="D235" s="102"/>
    </row>
    <row r="236" spans="1:4" ht="13.8" x14ac:dyDescent="0.3">
      <c r="A236" s="101"/>
      <c r="B236" s="102"/>
      <c r="D236" s="102"/>
    </row>
    <row r="237" spans="1:4" ht="13.8" x14ac:dyDescent="0.3">
      <c r="A237" s="101"/>
      <c r="B237" s="102"/>
      <c r="D237" s="102"/>
    </row>
    <row r="238" spans="1:4" ht="13.8" x14ac:dyDescent="0.3">
      <c r="A238" s="101"/>
      <c r="B238" s="102"/>
      <c r="D238" s="102"/>
    </row>
    <row r="239" spans="1:4" ht="13.8" x14ac:dyDescent="0.3">
      <c r="A239" s="101"/>
      <c r="B239" s="102"/>
      <c r="D239" s="102"/>
    </row>
    <row r="240" spans="1:4" ht="13.8" x14ac:dyDescent="0.3">
      <c r="A240" s="101"/>
      <c r="B240" s="102"/>
      <c r="D240" s="102"/>
    </row>
    <row r="241" spans="1:4" ht="13.8" x14ac:dyDescent="0.3">
      <c r="A241" s="101"/>
      <c r="B241" s="102"/>
      <c r="D241" s="102"/>
    </row>
    <row r="242" spans="1:4" ht="13.8" x14ac:dyDescent="0.3">
      <c r="A242" s="101"/>
      <c r="B242" s="102"/>
      <c r="D242" s="102"/>
    </row>
    <row r="243" spans="1:4" ht="13.8" x14ac:dyDescent="0.3">
      <c r="A243" s="101"/>
      <c r="B243" s="102"/>
      <c r="D243" s="102"/>
    </row>
    <row r="244" spans="1:4" ht="13.8" x14ac:dyDescent="0.3">
      <c r="A244" s="101"/>
      <c r="B244" s="102"/>
      <c r="D244" s="102"/>
    </row>
    <row r="245" spans="1:4" ht="13.8" x14ac:dyDescent="0.3">
      <c r="A245" s="101"/>
      <c r="B245" s="102"/>
      <c r="D245" s="102"/>
    </row>
    <row r="246" spans="1:4" ht="13.8" x14ac:dyDescent="0.3">
      <c r="A246" s="101"/>
      <c r="B246" s="102"/>
      <c r="D246" s="102"/>
    </row>
    <row r="247" spans="1:4" ht="13.8" x14ac:dyDescent="0.3">
      <c r="A247" s="101"/>
      <c r="B247" s="102"/>
      <c r="D247" s="102"/>
    </row>
    <row r="248" spans="1:4" ht="13.8" x14ac:dyDescent="0.3">
      <c r="A248" s="101"/>
      <c r="B248" s="102"/>
      <c r="D248" s="102"/>
    </row>
    <row r="249" spans="1:4" ht="13.8" x14ac:dyDescent="0.3">
      <c r="A249" s="101"/>
      <c r="B249" s="102"/>
      <c r="D249" s="102"/>
    </row>
    <row r="250" spans="1:4" ht="13.8" x14ac:dyDescent="0.3">
      <c r="A250" s="101"/>
      <c r="B250" s="102"/>
      <c r="D250" s="102"/>
    </row>
    <row r="251" spans="1:4" ht="13.8" x14ac:dyDescent="0.3">
      <c r="A251" s="101"/>
      <c r="B251" s="102"/>
      <c r="D251" s="102"/>
    </row>
    <row r="252" spans="1:4" ht="13.8" x14ac:dyDescent="0.3">
      <c r="A252" s="101"/>
      <c r="B252" s="102"/>
      <c r="D252" s="102"/>
    </row>
    <row r="253" spans="1:4" ht="13.8" x14ac:dyDescent="0.3">
      <c r="A253" s="101"/>
      <c r="B253" s="102"/>
      <c r="D253" s="102"/>
    </row>
    <row r="254" spans="1:4" ht="13.8" x14ac:dyDescent="0.3">
      <c r="A254" s="101"/>
      <c r="B254" s="102"/>
      <c r="D254" s="102"/>
    </row>
    <row r="255" spans="1:4" ht="13.8" x14ac:dyDescent="0.3">
      <c r="A255" s="101"/>
      <c r="B255" s="102"/>
      <c r="D255" s="102"/>
    </row>
    <row r="256" spans="1:4" ht="13.8" x14ac:dyDescent="0.3">
      <c r="A256" s="101"/>
      <c r="B256" s="102"/>
      <c r="D256" s="102"/>
    </row>
    <row r="257" spans="1:4" ht="13.8" x14ac:dyDescent="0.3">
      <c r="A257" s="101"/>
      <c r="B257" s="102"/>
      <c r="D257" s="102"/>
    </row>
    <row r="258" spans="1:4" ht="13.8" x14ac:dyDescent="0.3">
      <c r="A258" s="101"/>
      <c r="B258" s="102"/>
      <c r="D258" s="102"/>
    </row>
    <row r="259" spans="1:4" ht="13.8" x14ac:dyDescent="0.3">
      <c r="A259" s="101"/>
      <c r="B259" s="102"/>
      <c r="D259" s="102"/>
    </row>
    <row r="260" spans="1:4" ht="13.8" x14ac:dyDescent="0.3">
      <c r="A260" s="101"/>
      <c r="B260" s="102"/>
      <c r="D260" s="102"/>
    </row>
    <row r="261" spans="1:4" ht="13.8" x14ac:dyDescent="0.3">
      <c r="A261" s="101"/>
      <c r="B261" s="102"/>
      <c r="D261" s="102"/>
    </row>
    <row r="262" spans="1:4" ht="13.8" x14ac:dyDescent="0.3">
      <c r="A262" s="101"/>
      <c r="B262" s="102"/>
      <c r="D262" s="102"/>
    </row>
    <row r="263" spans="1:4" ht="13.8" x14ac:dyDescent="0.3">
      <c r="A263" s="101"/>
      <c r="B263" s="102"/>
      <c r="D263" s="102"/>
    </row>
    <row r="264" spans="1:4" ht="13.8" x14ac:dyDescent="0.3">
      <c r="A264" s="101"/>
      <c r="B264" s="102"/>
      <c r="D264" s="102"/>
    </row>
    <row r="265" spans="1:4" ht="13.8" x14ac:dyDescent="0.3">
      <c r="A265" s="101"/>
      <c r="B265" s="102"/>
      <c r="D265" s="102"/>
    </row>
    <row r="266" spans="1:4" ht="13.8" x14ac:dyDescent="0.3">
      <c r="A266" s="101"/>
      <c r="B266" s="102"/>
      <c r="D266" s="102"/>
    </row>
    <row r="267" spans="1:4" ht="13.8" x14ac:dyDescent="0.3">
      <c r="A267" s="101"/>
      <c r="B267" s="102"/>
      <c r="D267" s="102"/>
    </row>
    <row r="268" spans="1:4" ht="13.8" x14ac:dyDescent="0.3">
      <c r="A268" s="101"/>
      <c r="B268" s="102"/>
      <c r="D268" s="102"/>
    </row>
    <row r="269" spans="1:4" ht="13.8" x14ac:dyDescent="0.3">
      <c r="A269" s="101"/>
      <c r="B269" s="102"/>
      <c r="D269" s="102"/>
    </row>
    <row r="270" spans="1:4" ht="13.8" x14ac:dyDescent="0.3">
      <c r="A270" s="101"/>
      <c r="B270" s="102"/>
      <c r="D270" s="102"/>
    </row>
    <row r="271" spans="1:4" ht="13.8" x14ac:dyDescent="0.3">
      <c r="A271" s="101"/>
      <c r="B271" s="102"/>
      <c r="D271" s="102"/>
    </row>
    <row r="272" spans="1:4" ht="13.8" x14ac:dyDescent="0.3">
      <c r="A272" s="101"/>
      <c r="B272" s="102"/>
      <c r="D272" s="102"/>
    </row>
    <row r="273" spans="1:4" ht="13.8" x14ac:dyDescent="0.3">
      <c r="A273" s="101"/>
      <c r="B273" s="102"/>
      <c r="D273" s="102"/>
    </row>
    <row r="274" spans="1:4" ht="13.8" x14ac:dyDescent="0.3">
      <c r="A274" s="101"/>
      <c r="B274" s="102"/>
      <c r="D274" s="102"/>
    </row>
    <row r="275" spans="1:4" ht="13.8" x14ac:dyDescent="0.3">
      <c r="A275" s="101"/>
      <c r="B275" s="102"/>
      <c r="D275" s="102"/>
    </row>
    <row r="276" spans="1:4" ht="13.8" x14ac:dyDescent="0.3">
      <c r="A276" s="101"/>
      <c r="B276" s="102"/>
      <c r="D276" s="102"/>
    </row>
    <row r="277" spans="1:4" ht="13.8" x14ac:dyDescent="0.3">
      <c r="A277" s="101"/>
      <c r="B277" s="102"/>
      <c r="D277" s="102"/>
    </row>
    <row r="278" spans="1:4" ht="13.8" x14ac:dyDescent="0.3">
      <c r="A278" s="101"/>
      <c r="B278" s="102"/>
      <c r="D278" s="102"/>
    </row>
    <row r="279" spans="1:4" ht="13.8" x14ac:dyDescent="0.3">
      <c r="A279" s="101"/>
      <c r="B279" s="102"/>
      <c r="D279" s="102"/>
    </row>
    <row r="280" spans="1:4" ht="13.8" x14ac:dyDescent="0.3">
      <c r="A280" s="101"/>
      <c r="B280" s="102"/>
      <c r="D280" s="102"/>
    </row>
    <row r="281" spans="1:4" ht="13.8" x14ac:dyDescent="0.3">
      <c r="A281" s="101"/>
      <c r="B281" s="102"/>
      <c r="D281" s="102"/>
    </row>
    <row r="282" spans="1:4" ht="13.8" x14ac:dyDescent="0.3">
      <c r="A282" s="101"/>
      <c r="B282" s="102"/>
      <c r="D282" s="102"/>
    </row>
    <row r="283" spans="1:4" ht="13.8" x14ac:dyDescent="0.3">
      <c r="A283" s="101"/>
      <c r="B283" s="102"/>
      <c r="D283" s="102"/>
    </row>
    <row r="284" spans="1:4" ht="13.8" x14ac:dyDescent="0.3">
      <c r="A284" s="101"/>
      <c r="B284" s="102"/>
      <c r="D284" s="102"/>
    </row>
    <row r="285" spans="1:4" ht="13.8" x14ac:dyDescent="0.3">
      <c r="A285" s="101"/>
      <c r="B285" s="102"/>
      <c r="D285" s="102"/>
    </row>
    <row r="286" spans="1:4" ht="13.8" x14ac:dyDescent="0.3">
      <c r="A286" s="101"/>
      <c r="B286" s="102"/>
      <c r="D286" s="102"/>
    </row>
    <row r="287" spans="1:4" ht="13.8" x14ac:dyDescent="0.3">
      <c r="A287" s="101"/>
      <c r="B287" s="102"/>
      <c r="D287" s="102"/>
    </row>
    <row r="288" spans="1:4" ht="13.8" x14ac:dyDescent="0.3">
      <c r="A288" s="101"/>
      <c r="B288" s="102"/>
      <c r="D288" s="102"/>
    </row>
    <row r="289" spans="1:4" ht="13.8" x14ac:dyDescent="0.3">
      <c r="A289" s="101"/>
      <c r="B289" s="102"/>
      <c r="D289" s="102"/>
    </row>
    <row r="290" spans="1:4" ht="13.8" x14ac:dyDescent="0.3">
      <c r="A290" s="101"/>
      <c r="B290" s="102"/>
      <c r="D290" s="102"/>
    </row>
    <row r="291" spans="1:4" ht="13.8" x14ac:dyDescent="0.3">
      <c r="A291" s="101"/>
      <c r="B291" s="102"/>
      <c r="D291" s="102"/>
    </row>
    <row r="292" spans="1:4" ht="13.8" x14ac:dyDescent="0.3">
      <c r="A292" s="101"/>
      <c r="B292" s="102"/>
      <c r="D292" s="102"/>
    </row>
    <row r="293" spans="1:4" ht="13.8" x14ac:dyDescent="0.3">
      <c r="A293" s="101"/>
      <c r="B293" s="102"/>
      <c r="D293" s="102"/>
    </row>
    <row r="294" spans="1:4" ht="13.8" x14ac:dyDescent="0.3">
      <c r="A294" s="101"/>
      <c r="B294" s="102"/>
      <c r="D294" s="102"/>
    </row>
    <row r="295" spans="1:4" ht="13.8" x14ac:dyDescent="0.3">
      <c r="A295" s="101"/>
      <c r="B295" s="102"/>
      <c r="D295" s="102"/>
    </row>
    <row r="296" spans="1:4" ht="13.8" x14ac:dyDescent="0.3">
      <c r="A296" s="101"/>
      <c r="B296" s="102"/>
      <c r="D296" s="102"/>
    </row>
    <row r="297" spans="1:4" ht="13.8" x14ac:dyDescent="0.3">
      <c r="A297" s="101"/>
      <c r="B297" s="102"/>
      <c r="D297" s="102"/>
    </row>
    <row r="298" spans="1:4" ht="13.8" x14ac:dyDescent="0.3">
      <c r="A298" s="101"/>
      <c r="B298" s="102"/>
      <c r="D298" s="102"/>
    </row>
    <row r="299" spans="1:4" ht="13.8" x14ac:dyDescent="0.3">
      <c r="A299" s="101"/>
      <c r="B299" s="102"/>
      <c r="D299" s="102"/>
    </row>
    <row r="300" spans="1:4" ht="13.8" x14ac:dyDescent="0.3">
      <c r="A300" s="101"/>
      <c r="B300" s="102"/>
      <c r="D300" s="102"/>
    </row>
    <row r="301" spans="1:4" ht="13.8" x14ac:dyDescent="0.3">
      <c r="A301" s="101"/>
      <c r="B301" s="102"/>
      <c r="D301" s="102"/>
    </row>
    <row r="302" spans="1:4" ht="13.8" x14ac:dyDescent="0.3">
      <c r="A302" s="101"/>
      <c r="B302" s="102"/>
      <c r="D302" s="102"/>
    </row>
    <row r="303" spans="1:4" ht="13.8" x14ac:dyDescent="0.3">
      <c r="A303" s="101"/>
      <c r="B303" s="102"/>
      <c r="D303" s="102"/>
    </row>
    <row r="304" spans="1:4" ht="13.8" x14ac:dyDescent="0.3">
      <c r="A304" s="101"/>
      <c r="B304" s="102"/>
      <c r="D304" s="102"/>
    </row>
    <row r="305" spans="1:4" ht="13.8" x14ac:dyDescent="0.3">
      <c r="A305" s="101"/>
      <c r="B305" s="102"/>
      <c r="D305" s="102"/>
    </row>
    <row r="306" spans="1:4" ht="13.8" x14ac:dyDescent="0.3">
      <c r="A306" s="101"/>
      <c r="B306" s="102"/>
      <c r="D306" s="102"/>
    </row>
    <row r="307" spans="1:4" ht="13.8" x14ac:dyDescent="0.3">
      <c r="A307" s="101"/>
      <c r="B307" s="102"/>
      <c r="D307" s="102"/>
    </row>
    <row r="308" spans="1:4" ht="13.8" x14ac:dyDescent="0.3">
      <c r="A308" s="101"/>
      <c r="B308" s="102"/>
      <c r="D308" s="102"/>
    </row>
    <row r="309" spans="1:4" ht="13.8" x14ac:dyDescent="0.3">
      <c r="A309" s="101"/>
      <c r="B309" s="102"/>
      <c r="D309" s="102"/>
    </row>
    <row r="310" spans="1:4" ht="13.8" x14ac:dyDescent="0.3">
      <c r="A310" s="101"/>
      <c r="B310" s="102"/>
      <c r="D310" s="102"/>
    </row>
    <row r="311" spans="1:4" ht="13.8" x14ac:dyDescent="0.3">
      <c r="A311" s="101"/>
      <c r="B311" s="102"/>
      <c r="D311" s="102"/>
    </row>
    <row r="312" spans="1:4" ht="13.8" x14ac:dyDescent="0.3">
      <c r="A312" s="101"/>
      <c r="B312" s="102"/>
      <c r="D312" s="102"/>
    </row>
    <row r="313" spans="1:4" ht="13.8" x14ac:dyDescent="0.3">
      <c r="A313" s="101"/>
      <c r="B313" s="102"/>
      <c r="D313" s="102"/>
    </row>
    <row r="314" spans="1:4" ht="13.8" x14ac:dyDescent="0.3">
      <c r="A314" s="101"/>
      <c r="B314" s="102"/>
      <c r="D314" s="102"/>
    </row>
    <row r="315" spans="1:4" ht="13.8" x14ac:dyDescent="0.3">
      <c r="A315" s="101"/>
      <c r="B315" s="102"/>
      <c r="D315" s="102"/>
    </row>
    <row r="316" spans="1:4" ht="13.8" x14ac:dyDescent="0.3">
      <c r="A316" s="101"/>
      <c r="B316" s="102"/>
      <c r="D316" s="102"/>
    </row>
    <row r="317" spans="1:4" ht="13.8" x14ac:dyDescent="0.3">
      <c r="A317" s="101"/>
      <c r="B317" s="102"/>
      <c r="D317" s="102"/>
    </row>
    <row r="318" spans="1:4" ht="13.8" x14ac:dyDescent="0.3">
      <c r="A318" s="101"/>
      <c r="B318" s="102"/>
      <c r="D318" s="102"/>
    </row>
    <row r="319" spans="1:4" ht="13.8" x14ac:dyDescent="0.3">
      <c r="A319" s="101"/>
      <c r="B319" s="102"/>
      <c r="D319" s="102"/>
    </row>
    <row r="320" spans="1:4" ht="13.8" x14ac:dyDescent="0.3">
      <c r="A320" s="101"/>
      <c r="B320" s="102"/>
      <c r="D320" s="102"/>
    </row>
    <row r="321" spans="1:4" ht="13.8" x14ac:dyDescent="0.3">
      <c r="A321" s="101"/>
      <c r="B321" s="102"/>
      <c r="D321" s="102"/>
    </row>
    <row r="322" spans="1:4" ht="13.8" x14ac:dyDescent="0.3">
      <c r="A322" s="101"/>
      <c r="B322" s="102"/>
      <c r="D322" s="102"/>
    </row>
    <row r="323" spans="1:4" ht="13.8" x14ac:dyDescent="0.3">
      <c r="A323" s="101"/>
      <c r="B323" s="102"/>
      <c r="D323" s="102"/>
    </row>
    <row r="324" spans="1:4" ht="13.8" x14ac:dyDescent="0.3">
      <c r="A324" s="101"/>
      <c r="B324" s="102"/>
      <c r="D324" s="102"/>
    </row>
    <row r="325" spans="1:4" ht="13.8" x14ac:dyDescent="0.3">
      <c r="A325" s="101"/>
      <c r="B325" s="102"/>
      <c r="D325" s="102"/>
    </row>
    <row r="326" spans="1:4" ht="13.8" x14ac:dyDescent="0.3">
      <c r="A326" s="101"/>
      <c r="B326" s="102"/>
      <c r="D326" s="102"/>
    </row>
    <row r="327" spans="1:4" ht="13.8" x14ac:dyDescent="0.3">
      <c r="A327" s="101"/>
      <c r="B327" s="102"/>
      <c r="D327" s="102"/>
    </row>
    <row r="328" spans="1:4" ht="13.8" x14ac:dyDescent="0.3">
      <c r="A328" s="101"/>
      <c r="B328" s="102"/>
      <c r="D328" s="102"/>
    </row>
    <row r="329" spans="1:4" ht="13.8" x14ac:dyDescent="0.3">
      <c r="A329" s="101"/>
      <c r="B329" s="102"/>
      <c r="D329" s="102"/>
    </row>
    <row r="330" spans="1:4" ht="13.8" x14ac:dyDescent="0.3">
      <c r="A330" s="101"/>
      <c r="B330" s="102"/>
      <c r="D330" s="102"/>
    </row>
    <row r="331" spans="1:4" ht="13.8" x14ac:dyDescent="0.3">
      <c r="A331" s="101"/>
      <c r="B331" s="102"/>
      <c r="D331" s="102"/>
    </row>
    <row r="332" spans="1:4" ht="13.8" x14ac:dyDescent="0.3">
      <c r="A332" s="101"/>
      <c r="B332" s="102"/>
      <c r="D332" s="102"/>
    </row>
    <row r="333" spans="1:4" ht="13.8" x14ac:dyDescent="0.3">
      <c r="A333" s="101"/>
      <c r="B333" s="102"/>
      <c r="D333" s="102"/>
    </row>
    <row r="334" spans="1:4" ht="13.8" x14ac:dyDescent="0.3">
      <c r="A334" s="101"/>
      <c r="B334" s="102"/>
      <c r="D334" s="102"/>
    </row>
    <row r="335" spans="1:4" ht="13.8" x14ac:dyDescent="0.3">
      <c r="A335" s="101"/>
      <c r="B335" s="102"/>
      <c r="D335" s="102"/>
    </row>
    <row r="336" spans="1:4" ht="13.8" x14ac:dyDescent="0.3">
      <c r="A336" s="101"/>
      <c r="B336" s="102"/>
      <c r="D336" s="102"/>
    </row>
    <row r="337" spans="1:4" ht="13.8" x14ac:dyDescent="0.3">
      <c r="A337" s="101"/>
      <c r="B337" s="102"/>
      <c r="D337" s="102"/>
    </row>
    <row r="338" spans="1:4" ht="13.8" x14ac:dyDescent="0.3">
      <c r="A338" s="101"/>
      <c r="B338" s="102"/>
      <c r="D338" s="102"/>
    </row>
    <row r="339" spans="1:4" ht="13.8" x14ac:dyDescent="0.3">
      <c r="A339" s="101"/>
      <c r="B339" s="102"/>
      <c r="D339" s="102"/>
    </row>
    <row r="340" spans="1:4" ht="13.8" x14ac:dyDescent="0.3">
      <c r="A340" s="101"/>
      <c r="B340" s="102"/>
      <c r="D340" s="102"/>
    </row>
    <row r="341" spans="1:4" ht="13.8" x14ac:dyDescent="0.3">
      <c r="A341" s="101"/>
      <c r="B341" s="102"/>
      <c r="D341" s="102"/>
    </row>
    <row r="342" spans="1:4" ht="13.8" x14ac:dyDescent="0.3">
      <c r="A342" s="101"/>
      <c r="B342" s="102"/>
      <c r="D342" s="102"/>
    </row>
    <row r="343" spans="1:4" ht="13.8" x14ac:dyDescent="0.3">
      <c r="A343" s="101"/>
      <c r="B343" s="102"/>
      <c r="D343" s="102"/>
    </row>
    <row r="344" spans="1:4" ht="13.8" x14ac:dyDescent="0.3">
      <c r="A344" s="101"/>
      <c r="B344" s="102"/>
      <c r="D344" s="102"/>
    </row>
    <row r="345" spans="1:4" ht="13.8" x14ac:dyDescent="0.3">
      <c r="A345" s="101"/>
      <c r="B345" s="102"/>
      <c r="D345" s="102"/>
    </row>
    <row r="346" spans="1:4" ht="13.8" x14ac:dyDescent="0.3">
      <c r="A346" s="101"/>
      <c r="B346" s="102"/>
      <c r="D346" s="102"/>
    </row>
    <row r="347" spans="1:4" ht="13.8" x14ac:dyDescent="0.3">
      <c r="A347" s="101"/>
      <c r="B347" s="102"/>
      <c r="D347" s="102"/>
    </row>
    <row r="348" spans="1:4" ht="13.8" x14ac:dyDescent="0.3">
      <c r="A348" s="101"/>
      <c r="B348" s="102"/>
      <c r="D348" s="102"/>
    </row>
    <row r="349" spans="1:4" ht="13.8" x14ac:dyDescent="0.3">
      <c r="A349" s="101"/>
      <c r="B349" s="102"/>
      <c r="D349" s="102"/>
    </row>
    <row r="350" spans="1:4" ht="13.8" x14ac:dyDescent="0.3">
      <c r="A350" s="101"/>
      <c r="B350" s="102"/>
      <c r="D350" s="102"/>
    </row>
    <row r="351" spans="1:4" ht="13.8" x14ac:dyDescent="0.3">
      <c r="A351" s="101"/>
      <c r="B351" s="102"/>
      <c r="D351" s="102"/>
    </row>
    <row r="352" spans="1:4" ht="13.8" x14ac:dyDescent="0.3">
      <c r="A352" s="101"/>
      <c r="B352" s="102"/>
      <c r="D352" s="102"/>
    </row>
    <row r="353" spans="1:4" ht="13.8" x14ac:dyDescent="0.3">
      <c r="A353" s="101"/>
      <c r="B353" s="102"/>
      <c r="D353" s="102"/>
    </row>
    <row r="354" spans="1:4" ht="13.8" x14ac:dyDescent="0.3">
      <c r="A354" s="101"/>
      <c r="B354" s="102"/>
      <c r="D354" s="102"/>
    </row>
    <row r="355" spans="1:4" ht="13.8" x14ac:dyDescent="0.3">
      <c r="A355" s="101"/>
      <c r="B355" s="102"/>
      <c r="D355" s="102"/>
    </row>
    <row r="356" spans="1:4" ht="13.8" x14ac:dyDescent="0.3">
      <c r="A356" s="101"/>
      <c r="B356" s="102"/>
      <c r="D356" s="102"/>
    </row>
    <row r="357" spans="1:4" ht="13.8" x14ac:dyDescent="0.3">
      <c r="A357" s="101"/>
      <c r="B357" s="102"/>
      <c r="D357" s="102"/>
    </row>
    <row r="358" spans="1:4" ht="13.8" x14ac:dyDescent="0.3">
      <c r="A358" s="101"/>
      <c r="B358" s="102"/>
      <c r="D358" s="102"/>
    </row>
    <row r="359" spans="1:4" ht="13.8" x14ac:dyDescent="0.3">
      <c r="A359" s="101"/>
      <c r="B359" s="102"/>
      <c r="D359" s="102"/>
    </row>
    <row r="360" spans="1:4" ht="13.8" x14ac:dyDescent="0.3">
      <c r="A360" s="101"/>
      <c r="B360" s="102"/>
      <c r="D360" s="102"/>
    </row>
    <row r="361" spans="1:4" ht="13.8" x14ac:dyDescent="0.3">
      <c r="A361" s="101"/>
      <c r="B361" s="102"/>
      <c r="D361" s="102"/>
    </row>
    <row r="362" spans="1:4" ht="13.8" x14ac:dyDescent="0.3">
      <c r="A362" s="101"/>
      <c r="B362" s="102"/>
      <c r="D362" s="102"/>
    </row>
    <row r="363" spans="1:4" ht="13.8" x14ac:dyDescent="0.3">
      <c r="A363" s="101"/>
      <c r="B363" s="102"/>
      <c r="D363" s="102"/>
    </row>
    <row r="364" spans="1:4" ht="13.8" x14ac:dyDescent="0.3">
      <c r="A364" s="101"/>
      <c r="B364" s="102"/>
      <c r="D364" s="102"/>
    </row>
    <row r="365" spans="1:4" ht="13.8" x14ac:dyDescent="0.3">
      <c r="A365" s="101"/>
      <c r="B365" s="102"/>
      <c r="D365" s="102"/>
    </row>
    <row r="366" spans="1:4" ht="13.8" x14ac:dyDescent="0.3">
      <c r="A366" s="101"/>
      <c r="B366" s="102"/>
      <c r="D366" s="102"/>
    </row>
    <row r="367" spans="1:4" ht="13.8" x14ac:dyDescent="0.3">
      <c r="A367" s="101"/>
      <c r="B367" s="102"/>
      <c r="D367" s="102"/>
    </row>
    <row r="368" spans="1:4" ht="13.8" x14ac:dyDescent="0.3">
      <c r="A368" s="101"/>
      <c r="B368" s="102"/>
      <c r="D368" s="102"/>
    </row>
    <row r="369" spans="1:4" ht="13.8" x14ac:dyDescent="0.3">
      <c r="A369" s="101"/>
      <c r="B369" s="102"/>
      <c r="D369" s="102"/>
    </row>
    <row r="370" spans="1:4" ht="13.8" x14ac:dyDescent="0.3">
      <c r="A370" s="101"/>
      <c r="B370" s="102"/>
      <c r="D370" s="102"/>
    </row>
    <row r="371" spans="1:4" ht="13.8" x14ac:dyDescent="0.3">
      <c r="A371" s="101"/>
      <c r="B371" s="102"/>
      <c r="D371" s="102"/>
    </row>
    <row r="372" spans="1:4" ht="13.8" x14ac:dyDescent="0.3">
      <c r="A372" s="101"/>
      <c r="B372" s="102"/>
      <c r="D372" s="102"/>
    </row>
    <row r="373" spans="1:4" ht="13.8" x14ac:dyDescent="0.3">
      <c r="A373" s="101"/>
      <c r="B373" s="102"/>
      <c r="D373" s="102"/>
    </row>
    <row r="374" spans="1:4" ht="13.8" x14ac:dyDescent="0.3">
      <c r="A374" s="101"/>
      <c r="B374" s="102"/>
      <c r="D374" s="102"/>
    </row>
    <row r="375" spans="1:4" ht="13.8" x14ac:dyDescent="0.3">
      <c r="A375" s="101"/>
      <c r="B375" s="102"/>
      <c r="D375" s="102"/>
    </row>
    <row r="376" spans="1:4" ht="13.8" x14ac:dyDescent="0.3">
      <c r="A376" s="101"/>
      <c r="B376" s="102"/>
      <c r="D376" s="102"/>
    </row>
    <row r="377" spans="1:4" ht="13.8" x14ac:dyDescent="0.3">
      <c r="A377" s="101"/>
      <c r="B377" s="102"/>
      <c r="D377" s="102"/>
    </row>
    <row r="378" spans="1:4" ht="13.8" x14ac:dyDescent="0.3">
      <c r="A378" s="101"/>
      <c r="B378" s="102"/>
      <c r="D378" s="102"/>
    </row>
    <row r="379" spans="1:4" ht="13.8" x14ac:dyDescent="0.3">
      <c r="A379" s="101"/>
      <c r="B379" s="102"/>
      <c r="D379" s="102"/>
    </row>
    <row r="380" spans="1:4" ht="13.8" x14ac:dyDescent="0.3">
      <c r="A380" s="101"/>
      <c r="B380" s="102"/>
      <c r="D380" s="102"/>
    </row>
    <row r="381" spans="1:4" ht="13.8" x14ac:dyDescent="0.3">
      <c r="A381" s="101"/>
      <c r="B381" s="102"/>
      <c r="D381" s="102"/>
    </row>
    <row r="382" spans="1:4" ht="13.8" x14ac:dyDescent="0.3">
      <c r="A382" s="101"/>
      <c r="B382" s="102"/>
      <c r="D382" s="102"/>
    </row>
    <row r="383" spans="1:4" ht="13.8" x14ac:dyDescent="0.3">
      <c r="A383" s="101"/>
      <c r="B383" s="102"/>
      <c r="D383" s="102"/>
    </row>
    <row r="384" spans="1:4" ht="13.8" x14ac:dyDescent="0.3">
      <c r="A384" s="101"/>
      <c r="B384" s="102"/>
      <c r="D384" s="102"/>
    </row>
    <row r="385" spans="1:4" ht="13.8" x14ac:dyDescent="0.3">
      <c r="A385" s="101"/>
      <c r="B385" s="102"/>
      <c r="D385" s="102"/>
    </row>
    <row r="386" spans="1:4" ht="13.8" x14ac:dyDescent="0.3">
      <c r="A386" s="101"/>
      <c r="B386" s="102"/>
      <c r="D386" s="102"/>
    </row>
    <row r="387" spans="1:4" ht="13.8" x14ac:dyDescent="0.3">
      <c r="A387" s="101"/>
      <c r="B387" s="102"/>
      <c r="D387" s="102"/>
    </row>
    <row r="388" spans="1:4" ht="13.8" x14ac:dyDescent="0.3">
      <c r="A388" s="101"/>
      <c r="B388" s="102"/>
      <c r="D388" s="102"/>
    </row>
    <row r="389" spans="1:4" ht="13.8" x14ac:dyDescent="0.3">
      <c r="A389" s="101"/>
      <c r="B389" s="102"/>
      <c r="D389" s="102"/>
    </row>
    <row r="390" spans="1:4" ht="13.8" x14ac:dyDescent="0.3">
      <c r="A390" s="101"/>
      <c r="B390" s="102"/>
      <c r="D390" s="102"/>
    </row>
    <row r="391" spans="1:4" ht="13.8" x14ac:dyDescent="0.3">
      <c r="A391" s="101"/>
      <c r="B391" s="102"/>
      <c r="D391" s="102"/>
    </row>
    <row r="392" spans="1:4" ht="13.8" x14ac:dyDescent="0.3">
      <c r="A392" s="101"/>
      <c r="B392" s="102"/>
      <c r="D392" s="102"/>
    </row>
    <row r="393" spans="1:4" ht="13.8" x14ac:dyDescent="0.3">
      <c r="A393" s="101"/>
      <c r="B393" s="102"/>
      <c r="D393" s="102"/>
    </row>
    <row r="394" spans="1:4" ht="13.8" x14ac:dyDescent="0.3">
      <c r="A394" s="101"/>
      <c r="B394" s="102"/>
      <c r="D394" s="102"/>
    </row>
    <row r="395" spans="1:4" ht="13.8" x14ac:dyDescent="0.3">
      <c r="A395" s="101"/>
      <c r="B395" s="102"/>
      <c r="D395" s="102"/>
    </row>
    <row r="396" spans="1:4" ht="13.8" x14ac:dyDescent="0.3">
      <c r="A396" s="101"/>
      <c r="B396" s="102"/>
      <c r="D396" s="102"/>
    </row>
    <row r="397" spans="1:4" ht="13.8" x14ac:dyDescent="0.3">
      <c r="A397" s="101"/>
      <c r="B397" s="102"/>
      <c r="D397" s="102"/>
    </row>
    <row r="398" spans="1:4" ht="13.8" x14ac:dyDescent="0.3">
      <c r="A398" s="101"/>
      <c r="B398" s="102"/>
      <c r="D398" s="102"/>
    </row>
    <row r="399" spans="1:4" ht="13.8" x14ac:dyDescent="0.3">
      <c r="A399" s="101"/>
      <c r="B399" s="102"/>
      <c r="D399" s="102"/>
    </row>
    <row r="400" spans="1:4" ht="13.8" x14ac:dyDescent="0.3">
      <c r="A400" s="101"/>
      <c r="B400" s="102"/>
      <c r="D400" s="102"/>
    </row>
    <row r="401" spans="1:4" ht="13.8" x14ac:dyDescent="0.3">
      <c r="A401" s="101"/>
      <c r="B401" s="102"/>
      <c r="D401" s="102"/>
    </row>
    <row r="402" spans="1:4" ht="13.8" x14ac:dyDescent="0.3">
      <c r="A402" s="101"/>
      <c r="B402" s="102"/>
      <c r="D402" s="102"/>
    </row>
    <row r="403" spans="1:4" ht="13.8" x14ac:dyDescent="0.3">
      <c r="A403" s="101"/>
      <c r="B403" s="102"/>
      <c r="D403" s="102"/>
    </row>
    <row r="404" spans="1:4" ht="13.8" x14ac:dyDescent="0.3">
      <c r="A404" s="101"/>
      <c r="B404" s="102"/>
      <c r="D404" s="102"/>
    </row>
    <row r="405" spans="1:4" ht="13.8" x14ac:dyDescent="0.3">
      <c r="A405" s="101"/>
      <c r="B405" s="102"/>
      <c r="D405" s="102"/>
    </row>
    <row r="406" spans="1:4" ht="13.8" x14ac:dyDescent="0.3">
      <c r="A406" s="101"/>
      <c r="B406" s="102"/>
      <c r="D406" s="102"/>
    </row>
    <row r="407" spans="1:4" ht="13.8" x14ac:dyDescent="0.3">
      <c r="A407" s="101"/>
      <c r="B407" s="102"/>
      <c r="D407" s="102"/>
    </row>
    <row r="408" spans="1:4" ht="13.8" x14ac:dyDescent="0.3">
      <c r="A408" s="101"/>
      <c r="B408" s="102"/>
      <c r="D408" s="102"/>
    </row>
    <row r="409" spans="1:4" ht="13.8" x14ac:dyDescent="0.3">
      <c r="A409" s="101"/>
      <c r="B409" s="102"/>
      <c r="D409" s="102"/>
    </row>
    <row r="410" spans="1:4" ht="13.8" x14ac:dyDescent="0.3">
      <c r="A410" s="101"/>
      <c r="B410" s="102"/>
      <c r="D410" s="102"/>
    </row>
    <row r="411" spans="1:4" ht="13.8" x14ac:dyDescent="0.3">
      <c r="A411" s="101"/>
      <c r="B411" s="102"/>
      <c r="D411" s="102"/>
    </row>
    <row r="412" spans="1:4" ht="13.8" x14ac:dyDescent="0.3">
      <c r="A412" s="101"/>
      <c r="B412" s="102"/>
      <c r="D412" s="102"/>
    </row>
    <row r="413" spans="1:4" ht="13.8" x14ac:dyDescent="0.3">
      <c r="A413" s="101"/>
      <c r="B413" s="102"/>
      <c r="D413" s="102"/>
    </row>
    <row r="414" spans="1:4" ht="13.8" x14ac:dyDescent="0.3">
      <c r="A414" s="101"/>
      <c r="B414" s="102"/>
      <c r="D414" s="102"/>
    </row>
    <row r="415" spans="1:4" ht="13.8" x14ac:dyDescent="0.3">
      <c r="A415" s="101"/>
      <c r="B415" s="102"/>
      <c r="D415" s="102"/>
    </row>
    <row r="416" spans="1:4" ht="13.8" x14ac:dyDescent="0.3">
      <c r="A416" s="101"/>
      <c r="B416" s="102"/>
      <c r="D416" s="102"/>
    </row>
    <row r="417" spans="1:4" ht="13.8" x14ac:dyDescent="0.3">
      <c r="A417" s="101"/>
      <c r="B417" s="102"/>
      <c r="D417" s="102"/>
    </row>
    <row r="418" spans="1:4" ht="13.8" x14ac:dyDescent="0.3">
      <c r="A418" s="101"/>
      <c r="B418" s="102"/>
      <c r="D418" s="102"/>
    </row>
    <row r="419" spans="1:4" ht="13.8" x14ac:dyDescent="0.3">
      <c r="A419" s="101"/>
      <c r="B419" s="102"/>
      <c r="D419" s="102"/>
    </row>
    <row r="420" spans="1:4" ht="13.8" x14ac:dyDescent="0.3">
      <c r="A420" s="101"/>
      <c r="B420" s="102"/>
      <c r="D420" s="102"/>
    </row>
    <row r="421" spans="1:4" ht="13.8" x14ac:dyDescent="0.3">
      <c r="A421" s="101"/>
      <c r="B421" s="102"/>
      <c r="D421" s="102"/>
    </row>
    <row r="422" spans="1:4" ht="13.8" x14ac:dyDescent="0.3">
      <c r="A422" s="101"/>
      <c r="B422" s="102"/>
      <c r="D422" s="102"/>
    </row>
    <row r="423" spans="1:4" ht="13.8" x14ac:dyDescent="0.3">
      <c r="A423" s="101"/>
      <c r="B423" s="102"/>
      <c r="D423" s="102"/>
    </row>
    <row r="424" spans="1:4" ht="13.8" x14ac:dyDescent="0.3">
      <c r="A424" s="101"/>
      <c r="B424" s="102"/>
      <c r="D424" s="102"/>
    </row>
    <row r="425" spans="1:4" ht="13.8" x14ac:dyDescent="0.3">
      <c r="A425" s="101"/>
      <c r="B425" s="102"/>
      <c r="D425" s="102"/>
    </row>
    <row r="426" spans="1:4" ht="13.8" x14ac:dyDescent="0.3">
      <c r="A426" s="101"/>
      <c r="B426" s="102"/>
      <c r="D426" s="102"/>
    </row>
    <row r="427" spans="1:4" ht="13.8" x14ac:dyDescent="0.3">
      <c r="A427" s="101"/>
      <c r="B427" s="102"/>
      <c r="D427" s="102"/>
    </row>
    <row r="428" spans="1:4" ht="13.8" x14ac:dyDescent="0.3">
      <c r="A428" s="101"/>
      <c r="B428" s="102"/>
      <c r="D428" s="102"/>
    </row>
    <row r="429" spans="1:4" ht="13.8" x14ac:dyDescent="0.3">
      <c r="A429" s="101"/>
      <c r="B429" s="102"/>
      <c r="D429" s="102"/>
    </row>
    <row r="430" spans="1:4" ht="13.8" x14ac:dyDescent="0.3">
      <c r="A430" s="101"/>
      <c r="B430" s="102"/>
      <c r="D430" s="102"/>
    </row>
    <row r="431" spans="1:4" ht="13.8" x14ac:dyDescent="0.3">
      <c r="A431" s="101"/>
      <c r="B431" s="102"/>
      <c r="D431" s="102"/>
    </row>
    <row r="432" spans="1:4" ht="13.8" x14ac:dyDescent="0.3">
      <c r="A432" s="101"/>
      <c r="B432" s="102"/>
      <c r="D432" s="102"/>
    </row>
    <row r="433" spans="1:4" ht="13.8" x14ac:dyDescent="0.3">
      <c r="A433" s="101"/>
      <c r="B433" s="102"/>
      <c r="D433" s="102"/>
    </row>
    <row r="434" spans="1:4" ht="13.8" x14ac:dyDescent="0.3">
      <c r="A434" s="101"/>
      <c r="B434" s="102"/>
      <c r="D434" s="102"/>
    </row>
    <row r="435" spans="1:4" ht="13.8" x14ac:dyDescent="0.3">
      <c r="A435" s="101"/>
      <c r="B435" s="102"/>
      <c r="D435" s="102"/>
    </row>
    <row r="436" spans="1:4" ht="13.8" x14ac:dyDescent="0.3">
      <c r="A436" s="101"/>
      <c r="B436" s="102"/>
      <c r="D436" s="102"/>
    </row>
    <row r="437" spans="1:4" ht="13.8" x14ac:dyDescent="0.3">
      <c r="A437" s="101"/>
      <c r="B437" s="102"/>
      <c r="D437" s="102"/>
    </row>
    <row r="438" spans="1:4" ht="13.8" x14ac:dyDescent="0.3">
      <c r="A438" s="101"/>
      <c r="B438" s="102"/>
      <c r="D438" s="102"/>
    </row>
    <row r="439" spans="1:4" ht="13.8" x14ac:dyDescent="0.3">
      <c r="A439" s="101"/>
      <c r="B439" s="102"/>
      <c r="D439" s="102"/>
    </row>
    <row r="440" spans="1:4" ht="13.8" x14ac:dyDescent="0.3">
      <c r="A440" s="101"/>
      <c r="B440" s="102"/>
      <c r="D440" s="102"/>
    </row>
    <row r="441" spans="1:4" ht="13.8" x14ac:dyDescent="0.3">
      <c r="A441" s="101"/>
      <c r="B441" s="102"/>
      <c r="D441" s="102"/>
    </row>
    <row r="442" spans="1:4" ht="13.8" x14ac:dyDescent="0.3">
      <c r="A442" s="101"/>
      <c r="B442" s="102"/>
      <c r="D442" s="102"/>
    </row>
    <row r="443" spans="1:4" ht="13.8" x14ac:dyDescent="0.3">
      <c r="A443" s="101"/>
      <c r="B443" s="102"/>
      <c r="D443" s="102"/>
    </row>
    <row r="444" spans="1:4" ht="13.8" x14ac:dyDescent="0.3">
      <c r="A444" s="101"/>
      <c r="B444" s="102"/>
      <c r="D444" s="102"/>
    </row>
    <row r="445" spans="1:4" ht="13.8" x14ac:dyDescent="0.3">
      <c r="A445" s="101"/>
      <c r="B445" s="102"/>
      <c r="D445" s="102"/>
    </row>
    <row r="446" spans="1:4" ht="13.8" x14ac:dyDescent="0.3">
      <c r="A446" s="101"/>
      <c r="B446" s="102"/>
      <c r="D446" s="102"/>
    </row>
    <row r="447" spans="1:4" ht="13.8" x14ac:dyDescent="0.3">
      <c r="A447" s="101"/>
      <c r="B447" s="102"/>
      <c r="D447" s="102"/>
    </row>
    <row r="448" spans="1:4" ht="13.8" x14ac:dyDescent="0.3">
      <c r="A448" s="101"/>
      <c r="B448" s="102"/>
      <c r="D448" s="102"/>
    </row>
    <row r="449" spans="1:4" ht="13.8" x14ac:dyDescent="0.3">
      <c r="A449" s="101"/>
      <c r="B449" s="102"/>
      <c r="D449" s="102"/>
    </row>
    <row r="450" spans="1:4" ht="13.8" x14ac:dyDescent="0.3">
      <c r="A450" s="101"/>
      <c r="B450" s="102"/>
      <c r="D450" s="102"/>
    </row>
    <row r="451" spans="1:4" ht="13.8" x14ac:dyDescent="0.3">
      <c r="A451" s="101"/>
      <c r="B451" s="102"/>
      <c r="D451" s="102"/>
    </row>
    <row r="452" spans="1:4" ht="13.8" x14ac:dyDescent="0.3">
      <c r="A452" s="101"/>
      <c r="B452" s="102"/>
      <c r="D452" s="102"/>
    </row>
    <row r="453" spans="1:4" ht="13.8" x14ac:dyDescent="0.3">
      <c r="A453" s="101"/>
      <c r="B453" s="102"/>
      <c r="D453" s="102"/>
    </row>
    <row r="454" spans="1:4" ht="13.8" x14ac:dyDescent="0.3">
      <c r="A454" s="101"/>
      <c r="B454" s="102"/>
      <c r="D454" s="102"/>
    </row>
    <row r="455" spans="1:4" ht="13.8" x14ac:dyDescent="0.3">
      <c r="A455" s="101"/>
      <c r="B455" s="102"/>
      <c r="D455" s="102"/>
    </row>
    <row r="456" spans="1:4" ht="13.8" x14ac:dyDescent="0.3">
      <c r="A456" s="101"/>
      <c r="B456" s="102"/>
      <c r="D456" s="102"/>
    </row>
    <row r="457" spans="1:4" ht="13.8" x14ac:dyDescent="0.3">
      <c r="A457" s="101"/>
      <c r="B457" s="102"/>
      <c r="D457" s="102"/>
    </row>
    <row r="458" spans="1:4" ht="13.8" x14ac:dyDescent="0.3">
      <c r="A458" s="101"/>
      <c r="B458" s="102"/>
      <c r="D458" s="102"/>
    </row>
    <row r="459" spans="1:4" ht="13.8" x14ac:dyDescent="0.3">
      <c r="A459" s="101"/>
      <c r="B459" s="102"/>
      <c r="D459" s="102"/>
    </row>
    <row r="460" spans="1:4" ht="13.8" x14ac:dyDescent="0.3">
      <c r="A460" s="101"/>
      <c r="B460" s="102"/>
      <c r="D460" s="102"/>
    </row>
    <row r="461" spans="1:4" ht="13.8" x14ac:dyDescent="0.3">
      <c r="A461" s="101"/>
      <c r="B461" s="102"/>
      <c r="D461" s="102"/>
    </row>
    <row r="462" spans="1:4" ht="13.8" x14ac:dyDescent="0.3">
      <c r="A462" s="101"/>
      <c r="B462" s="102"/>
      <c r="D462" s="102"/>
    </row>
    <row r="463" spans="1:4" ht="13.8" x14ac:dyDescent="0.3">
      <c r="A463" s="101"/>
      <c r="B463" s="102"/>
      <c r="D463" s="102"/>
    </row>
    <row r="464" spans="1:4" ht="13.8" x14ac:dyDescent="0.3">
      <c r="A464" s="101"/>
      <c r="B464" s="102"/>
      <c r="D464" s="102"/>
    </row>
    <row r="465" spans="1:4" ht="13.8" x14ac:dyDescent="0.3">
      <c r="A465" s="101"/>
      <c r="B465" s="102"/>
      <c r="D465" s="102"/>
    </row>
    <row r="466" spans="1:4" ht="13.8" x14ac:dyDescent="0.3">
      <c r="A466" s="101"/>
      <c r="B466" s="102"/>
      <c r="D466" s="102"/>
    </row>
    <row r="467" spans="1:4" ht="13.8" x14ac:dyDescent="0.3">
      <c r="A467" s="101"/>
      <c r="B467" s="102"/>
      <c r="D467" s="102"/>
    </row>
    <row r="468" spans="1:4" ht="13.8" x14ac:dyDescent="0.3">
      <c r="A468" s="101"/>
      <c r="B468" s="102"/>
      <c r="D468" s="102"/>
    </row>
    <row r="469" spans="1:4" ht="13.8" x14ac:dyDescent="0.3">
      <c r="A469" s="101"/>
      <c r="B469" s="102"/>
      <c r="D469" s="102"/>
    </row>
    <row r="470" spans="1:4" ht="13.8" x14ac:dyDescent="0.3">
      <c r="A470" s="101"/>
      <c r="B470" s="102"/>
      <c r="D470" s="102"/>
    </row>
    <row r="471" spans="1:4" ht="13.8" x14ac:dyDescent="0.3">
      <c r="A471" s="101"/>
      <c r="B471" s="102"/>
      <c r="D471" s="102"/>
    </row>
    <row r="472" spans="1:4" ht="13.8" x14ac:dyDescent="0.3">
      <c r="A472" s="101"/>
      <c r="B472" s="102"/>
      <c r="D472" s="102"/>
    </row>
    <row r="473" spans="1:4" ht="13.8" x14ac:dyDescent="0.3">
      <c r="A473" s="101"/>
      <c r="B473" s="102"/>
      <c r="D473" s="102"/>
    </row>
    <row r="474" spans="1:4" ht="13.8" x14ac:dyDescent="0.3">
      <c r="A474" s="101"/>
      <c r="B474" s="102"/>
      <c r="D474" s="102"/>
    </row>
    <row r="475" spans="1:4" ht="13.8" x14ac:dyDescent="0.3">
      <c r="A475" s="101"/>
      <c r="B475" s="102"/>
      <c r="D475" s="102"/>
    </row>
    <row r="476" spans="1:4" ht="13.8" x14ac:dyDescent="0.3">
      <c r="A476" s="101"/>
      <c r="B476" s="102"/>
      <c r="D476" s="102"/>
    </row>
    <row r="477" spans="1:4" ht="13.8" x14ac:dyDescent="0.3">
      <c r="A477" s="101"/>
      <c r="B477" s="102"/>
      <c r="D477" s="102"/>
    </row>
    <row r="478" spans="1:4" ht="13.8" x14ac:dyDescent="0.3">
      <c r="A478" s="101"/>
      <c r="B478" s="102"/>
      <c r="D478" s="102"/>
    </row>
    <row r="479" spans="1:4" ht="13.8" x14ac:dyDescent="0.3">
      <c r="A479" s="101"/>
      <c r="B479" s="102"/>
      <c r="D479" s="102"/>
    </row>
    <row r="480" spans="1:4" ht="13.8" x14ac:dyDescent="0.3">
      <c r="A480" s="101"/>
      <c r="B480" s="102"/>
      <c r="D480" s="102"/>
    </row>
    <row r="481" spans="1:4" ht="13.8" x14ac:dyDescent="0.3">
      <c r="A481" s="101"/>
      <c r="B481" s="102"/>
      <c r="D481" s="102"/>
    </row>
    <row r="482" spans="1:4" ht="13.8" x14ac:dyDescent="0.3">
      <c r="A482" s="101"/>
      <c r="B482" s="102"/>
      <c r="D482" s="102"/>
    </row>
    <row r="483" spans="1:4" ht="13.8" x14ac:dyDescent="0.3">
      <c r="A483" s="101"/>
      <c r="B483" s="102"/>
      <c r="D483" s="102"/>
    </row>
    <row r="484" spans="1:4" ht="13.8" x14ac:dyDescent="0.3">
      <c r="A484" s="101"/>
      <c r="B484" s="102"/>
      <c r="D484" s="102"/>
    </row>
    <row r="485" spans="1:4" ht="13.8" x14ac:dyDescent="0.3">
      <c r="A485" s="101"/>
      <c r="B485" s="102"/>
      <c r="D485" s="102"/>
    </row>
    <row r="486" spans="1:4" ht="13.8" x14ac:dyDescent="0.3">
      <c r="A486" s="101"/>
      <c r="B486" s="102"/>
      <c r="D486" s="102"/>
    </row>
    <row r="487" spans="1:4" ht="13.8" x14ac:dyDescent="0.3">
      <c r="A487" s="101"/>
      <c r="B487" s="102"/>
      <c r="D487" s="102"/>
    </row>
    <row r="488" spans="1:4" ht="13.8" x14ac:dyDescent="0.3">
      <c r="A488" s="101"/>
      <c r="B488" s="102"/>
      <c r="D488" s="102"/>
    </row>
    <row r="489" spans="1:4" ht="13.8" x14ac:dyDescent="0.3">
      <c r="A489" s="101"/>
      <c r="B489" s="102"/>
      <c r="D489" s="102"/>
    </row>
    <row r="490" spans="1:4" ht="13.8" x14ac:dyDescent="0.3">
      <c r="A490" s="101"/>
      <c r="B490" s="102"/>
      <c r="D490" s="102"/>
    </row>
    <row r="491" spans="1:4" ht="13.8" x14ac:dyDescent="0.3">
      <c r="A491" s="101"/>
      <c r="B491" s="102"/>
      <c r="D491" s="102"/>
    </row>
    <row r="492" spans="1:4" ht="13.8" x14ac:dyDescent="0.3">
      <c r="A492" s="101"/>
      <c r="B492" s="102"/>
      <c r="D492" s="102"/>
    </row>
    <row r="493" spans="1:4" ht="13.8" x14ac:dyDescent="0.3">
      <c r="A493" s="101"/>
      <c r="B493" s="102"/>
      <c r="D493" s="102"/>
    </row>
    <row r="494" spans="1:4" ht="13.8" x14ac:dyDescent="0.3">
      <c r="A494" s="101"/>
      <c r="B494" s="102"/>
      <c r="D494" s="102"/>
    </row>
    <row r="495" spans="1:4" ht="13.8" x14ac:dyDescent="0.3">
      <c r="A495" s="101"/>
      <c r="B495" s="102"/>
      <c r="D495" s="102"/>
    </row>
    <row r="496" spans="1:4" ht="13.8" x14ac:dyDescent="0.3">
      <c r="A496" s="101"/>
      <c r="B496" s="102"/>
      <c r="D496" s="102"/>
    </row>
    <row r="497" spans="1:4" ht="13.8" x14ac:dyDescent="0.3">
      <c r="A497" s="101"/>
      <c r="B497" s="102"/>
      <c r="D497" s="102"/>
    </row>
    <row r="498" spans="1:4" ht="13.8" x14ac:dyDescent="0.3">
      <c r="A498" s="101"/>
      <c r="B498" s="102"/>
      <c r="D498" s="102"/>
    </row>
    <row r="499" spans="1:4" ht="13.8" x14ac:dyDescent="0.3">
      <c r="A499" s="101"/>
      <c r="B499" s="102"/>
      <c r="D499" s="102"/>
    </row>
    <row r="500" spans="1:4" ht="13.8" x14ac:dyDescent="0.3">
      <c r="A500" s="101"/>
      <c r="B500" s="102"/>
      <c r="D500" s="102"/>
    </row>
    <row r="501" spans="1:4" ht="13.8" x14ac:dyDescent="0.3">
      <c r="A501" s="101"/>
      <c r="B501" s="102"/>
      <c r="D501" s="102"/>
    </row>
    <row r="502" spans="1:4" ht="13.8" x14ac:dyDescent="0.3">
      <c r="A502" s="101"/>
      <c r="B502" s="102"/>
      <c r="D502" s="102"/>
    </row>
    <row r="503" spans="1:4" ht="13.8" x14ac:dyDescent="0.3">
      <c r="A503" s="101"/>
      <c r="B503" s="102"/>
      <c r="D503" s="102"/>
    </row>
    <row r="504" spans="1:4" ht="13.8" x14ac:dyDescent="0.3">
      <c r="A504" s="101"/>
      <c r="B504" s="102"/>
      <c r="D504" s="102"/>
    </row>
    <row r="505" spans="1:4" ht="13.8" x14ac:dyDescent="0.3">
      <c r="A505" s="101"/>
      <c r="B505" s="102"/>
      <c r="D505" s="102"/>
    </row>
    <row r="506" spans="1:4" ht="13.8" x14ac:dyDescent="0.3">
      <c r="A506" s="101"/>
      <c r="B506" s="102"/>
      <c r="D506" s="102"/>
    </row>
    <row r="507" spans="1:4" ht="13.8" x14ac:dyDescent="0.3">
      <c r="A507" s="101"/>
      <c r="B507" s="102"/>
      <c r="D507" s="102"/>
    </row>
    <row r="508" spans="1:4" ht="13.8" x14ac:dyDescent="0.3">
      <c r="A508" s="101"/>
      <c r="B508" s="102"/>
      <c r="D508" s="102"/>
    </row>
    <row r="509" spans="1:4" ht="13.8" x14ac:dyDescent="0.3">
      <c r="A509" s="101"/>
      <c r="B509" s="102"/>
      <c r="D509" s="102"/>
    </row>
    <row r="510" spans="1:4" ht="13.8" x14ac:dyDescent="0.3">
      <c r="A510" s="101"/>
      <c r="B510" s="102"/>
      <c r="D510" s="102"/>
    </row>
    <row r="511" spans="1:4" ht="13.8" x14ac:dyDescent="0.3">
      <c r="A511" s="101"/>
      <c r="B511" s="102"/>
      <c r="D511" s="102"/>
    </row>
    <row r="512" spans="1:4" ht="13.8" x14ac:dyDescent="0.3">
      <c r="A512" s="101"/>
      <c r="B512" s="102"/>
      <c r="D512" s="102"/>
    </row>
    <row r="513" spans="1:4" ht="13.8" x14ac:dyDescent="0.3">
      <c r="A513" s="101"/>
      <c r="B513" s="102"/>
      <c r="D513" s="102"/>
    </row>
    <row r="514" spans="1:4" ht="13.8" x14ac:dyDescent="0.3">
      <c r="A514" s="101"/>
      <c r="B514" s="102"/>
      <c r="D514" s="102"/>
    </row>
    <row r="515" spans="1:4" ht="13.8" x14ac:dyDescent="0.3">
      <c r="A515" s="101"/>
      <c r="B515" s="102"/>
      <c r="D515" s="102"/>
    </row>
    <row r="516" spans="1:4" ht="13.8" x14ac:dyDescent="0.3">
      <c r="A516" s="101"/>
      <c r="B516" s="102"/>
      <c r="D516" s="102"/>
    </row>
    <row r="517" spans="1:4" ht="13.8" x14ac:dyDescent="0.3">
      <c r="A517" s="101"/>
      <c r="B517" s="102"/>
      <c r="D517" s="102"/>
    </row>
    <row r="518" spans="1:4" ht="13.8" x14ac:dyDescent="0.3">
      <c r="A518" s="101"/>
      <c r="B518" s="102"/>
      <c r="D518" s="102"/>
    </row>
    <row r="519" spans="1:4" ht="13.8" x14ac:dyDescent="0.3">
      <c r="A519" s="101"/>
      <c r="B519" s="102"/>
      <c r="D519" s="102"/>
    </row>
    <row r="520" spans="1:4" ht="13.8" x14ac:dyDescent="0.3">
      <c r="A520" s="101"/>
      <c r="B520" s="102"/>
      <c r="D520" s="102"/>
    </row>
    <row r="521" spans="1:4" ht="13.8" x14ac:dyDescent="0.3">
      <c r="A521" s="101"/>
      <c r="B521" s="102"/>
      <c r="D521" s="102"/>
    </row>
    <row r="522" spans="1:4" ht="13.8" x14ac:dyDescent="0.3">
      <c r="A522" s="101"/>
      <c r="B522" s="102"/>
      <c r="D522" s="102"/>
    </row>
    <row r="523" spans="1:4" ht="13.8" x14ac:dyDescent="0.3">
      <c r="A523" s="101"/>
      <c r="B523" s="102"/>
      <c r="D523" s="102"/>
    </row>
    <row r="524" spans="1:4" ht="13.8" x14ac:dyDescent="0.3">
      <c r="A524" s="101"/>
      <c r="B524" s="102"/>
      <c r="D524" s="102"/>
    </row>
    <row r="525" spans="1:4" ht="13.8" x14ac:dyDescent="0.3">
      <c r="A525" s="101"/>
      <c r="B525" s="102"/>
      <c r="D525" s="102"/>
    </row>
    <row r="526" spans="1:4" ht="13.8" x14ac:dyDescent="0.3">
      <c r="A526" s="101"/>
      <c r="B526" s="102"/>
      <c r="D526" s="102"/>
    </row>
    <row r="527" spans="1:4" ht="13.8" x14ac:dyDescent="0.3">
      <c r="A527" s="101"/>
      <c r="B527" s="102"/>
      <c r="D527" s="102"/>
    </row>
    <row r="528" spans="1:4" ht="13.8" x14ac:dyDescent="0.3">
      <c r="A528" s="101"/>
      <c r="B528" s="102"/>
      <c r="D528" s="102"/>
    </row>
    <row r="529" spans="1:4" ht="13.8" x14ac:dyDescent="0.3">
      <c r="A529" s="101"/>
      <c r="B529" s="102"/>
      <c r="D529" s="102"/>
    </row>
    <row r="530" spans="1:4" ht="13.8" x14ac:dyDescent="0.3">
      <c r="A530" s="101"/>
      <c r="B530" s="102"/>
      <c r="D530" s="102"/>
    </row>
    <row r="531" spans="1:4" ht="13.8" x14ac:dyDescent="0.3">
      <c r="A531" s="101"/>
      <c r="B531" s="102"/>
      <c r="D531" s="102"/>
    </row>
    <row r="532" spans="1:4" ht="13.8" x14ac:dyDescent="0.3">
      <c r="A532" s="101"/>
      <c r="B532" s="102"/>
      <c r="D532" s="102"/>
    </row>
    <row r="533" spans="1:4" ht="13.8" x14ac:dyDescent="0.3">
      <c r="A533" s="101"/>
      <c r="B533" s="102"/>
      <c r="D533" s="102"/>
    </row>
    <row r="534" spans="1:4" ht="13.8" x14ac:dyDescent="0.3">
      <c r="A534" s="101"/>
      <c r="B534" s="102"/>
      <c r="D534" s="102"/>
    </row>
    <row r="535" spans="1:4" ht="13.8" x14ac:dyDescent="0.3">
      <c r="A535" s="101"/>
      <c r="B535" s="102"/>
      <c r="D535" s="102"/>
    </row>
    <row r="536" spans="1:4" ht="13.8" x14ac:dyDescent="0.3">
      <c r="A536" s="101"/>
      <c r="B536" s="102"/>
      <c r="D536" s="102"/>
    </row>
    <row r="537" spans="1:4" ht="13.8" x14ac:dyDescent="0.3">
      <c r="A537" s="101"/>
      <c r="B537" s="102"/>
      <c r="D537" s="102"/>
    </row>
    <row r="538" spans="1:4" ht="13.8" x14ac:dyDescent="0.3">
      <c r="A538" s="101"/>
      <c r="B538" s="102"/>
      <c r="D538" s="102"/>
    </row>
    <row r="539" spans="1:4" ht="13.8" x14ac:dyDescent="0.3">
      <c r="A539" s="101"/>
      <c r="B539" s="102"/>
      <c r="D539" s="102"/>
    </row>
    <row r="540" spans="1:4" ht="13.8" x14ac:dyDescent="0.3">
      <c r="A540" s="101"/>
      <c r="B540" s="102"/>
      <c r="D540" s="102"/>
    </row>
    <row r="541" spans="1:4" ht="13.8" x14ac:dyDescent="0.3">
      <c r="A541" s="101"/>
      <c r="B541" s="102"/>
      <c r="D541" s="102"/>
    </row>
    <row r="542" spans="1:4" ht="13.8" x14ac:dyDescent="0.3">
      <c r="A542" s="101"/>
      <c r="B542" s="102"/>
      <c r="D542" s="102"/>
    </row>
    <row r="543" spans="1:4" ht="13.8" x14ac:dyDescent="0.3">
      <c r="A543" s="101"/>
      <c r="B543" s="102"/>
      <c r="D543" s="102"/>
    </row>
    <row r="544" spans="1:4" ht="13.8" x14ac:dyDescent="0.3">
      <c r="A544" s="101"/>
      <c r="B544" s="102"/>
      <c r="D544" s="102"/>
    </row>
    <row r="545" spans="1:4" ht="13.8" x14ac:dyDescent="0.3">
      <c r="A545" s="101"/>
      <c r="B545" s="102"/>
      <c r="D545" s="102"/>
    </row>
    <row r="546" spans="1:4" ht="13.8" x14ac:dyDescent="0.3">
      <c r="A546" s="101"/>
      <c r="B546" s="102"/>
      <c r="D546" s="102"/>
    </row>
    <row r="547" spans="1:4" ht="13.8" x14ac:dyDescent="0.3">
      <c r="A547" s="101"/>
      <c r="B547" s="102"/>
      <c r="D547" s="102"/>
    </row>
    <row r="548" spans="1:4" ht="13.8" x14ac:dyDescent="0.3">
      <c r="A548" s="101"/>
      <c r="B548" s="102"/>
      <c r="D548" s="102"/>
    </row>
    <row r="549" spans="1:4" ht="13.8" x14ac:dyDescent="0.3">
      <c r="A549" s="101"/>
      <c r="B549" s="102"/>
      <c r="D549" s="102"/>
    </row>
    <row r="550" spans="1:4" ht="13.8" x14ac:dyDescent="0.3">
      <c r="A550" s="101"/>
      <c r="B550" s="102"/>
      <c r="D550" s="102"/>
    </row>
    <row r="551" spans="1:4" ht="13.8" x14ac:dyDescent="0.3">
      <c r="A551" s="101"/>
      <c r="B551" s="102"/>
      <c r="D551" s="102"/>
    </row>
    <row r="552" spans="1:4" ht="13.8" x14ac:dyDescent="0.3">
      <c r="A552" s="101"/>
      <c r="B552" s="102"/>
      <c r="D552" s="102"/>
    </row>
    <row r="553" spans="1:4" ht="13.8" x14ac:dyDescent="0.3">
      <c r="A553" s="101"/>
      <c r="B553" s="102"/>
      <c r="D553" s="102"/>
    </row>
    <row r="554" spans="1:4" ht="13.8" x14ac:dyDescent="0.3">
      <c r="A554" s="101"/>
      <c r="B554" s="102"/>
      <c r="D554" s="102"/>
    </row>
    <row r="555" spans="1:4" ht="13.8" x14ac:dyDescent="0.3">
      <c r="A555" s="101"/>
      <c r="B555" s="102"/>
      <c r="D555" s="102"/>
    </row>
    <row r="556" spans="1:4" ht="13.8" x14ac:dyDescent="0.3">
      <c r="A556" s="101"/>
      <c r="B556" s="102"/>
      <c r="D556" s="102"/>
    </row>
    <row r="557" spans="1:4" ht="13.8" x14ac:dyDescent="0.3">
      <c r="A557" s="101"/>
      <c r="B557" s="102"/>
      <c r="D557" s="102"/>
    </row>
    <row r="558" spans="1:4" ht="13.8" x14ac:dyDescent="0.3">
      <c r="A558" s="101"/>
      <c r="B558" s="102"/>
      <c r="D558" s="102"/>
    </row>
    <row r="559" spans="1:4" ht="13.8" x14ac:dyDescent="0.3">
      <c r="A559" s="101"/>
      <c r="B559" s="102"/>
      <c r="D559" s="102"/>
    </row>
    <row r="560" spans="1:4" ht="13.8" x14ac:dyDescent="0.3">
      <c r="A560" s="101"/>
      <c r="B560" s="102"/>
      <c r="D560" s="102"/>
    </row>
    <row r="561" spans="1:4" ht="13.8" x14ac:dyDescent="0.3">
      <c r="A561" s="101"/>
      <c r="B561" s="102"/>
      <c r="D561" s="102"/>
    </row>
    <row r="562" spans="1:4" ht="13.8" x14ac:dyDescent="0.3">
      <c r="A562" s="101"/>
      <c r="B562" s="102"/>
      <c r="D562" s="102"/>
    </row>
    <row r="563" spans="1:4" ht="13.8" x14ac:dyDescent="0.3">
      <c r="A563" s="101"/>
      <c r="B563" s="102"/>
      <c r="D563" s="102"/>
    </row>
    <row r="564" spans="1:4" ht="13.8" x14ac:dyDescent="0.3">
      <c r="A564" s="101"/>
      <c r="B564" s="102"/>
      <c r="D564" s="102"/>
    </row>
    <row r="565" spans="1:4" ht="13.8" x14ac:dyDescent="0.3">
      <c r="A565" s="101"/>
      <c r="B565" s="102"/>
      <c r="D565" s="102"/>
    </row>
    <row r="566" spans="1:4" ht="13.8" x14ac:dyDescent="0.3">
      <c r="A566" s="101"/>
      <c r="B566" s="102"/>
      <c r="D566" s="102"/>
    </row>
    <row r="567" spans="1:4" ht="13.8" x14ac:dyDescent="0.3">
      <c r="A567" s="101"/>
      <c r="B567" s="102"/>
      <c r="D567" s="102"/>
    </row>
    <row r="568" spans="1:4" ht="13.8" x14ac:dyDescent="0.3">
      <c r="A568" s="101"/>
      <c r="B568" s="102"/>
      <c r="D568" s="102"/>
    </row>
    <row r="569" spans="1:4" ht="13.8" x14ac:dyDescent="0.3">
      <c r="A569" s="101"/>
      <c r="B569" s="102"/>
      <c r="D569" s="102"/>
    </row>
    <row r="570" spans="1:4" ht="13.8" x14ac:dyDescent="0.3">
      <c r="A570" s="101"/>
      <c r="B570" s="102"/>
      <c r="D570" s="102"/>
    </row>
    <row r="571" spans="1:4" ht="13.8" x14ac:dyDescent="0.3">
      <c r="A571" s="101"/>
      <c r="B571" s="102"/>
      <c r="D571" s="102"/>
    </row>
    <row r="572" spans="1:4" ht="13.8" x14ac:dyDescent="0.3">
      <c r="A572" s="101"/>
      <c r="B572" s="102"/>
      <c r="D572" s="102"/>
    </row>
    <row r="573" spans="1:4" ht="13.8" x14ac:dyDescent="0.3">
      <c r="A573" s="101"/>
      <c r="B573" s="102"/>
      <c r="D573" s="102"/>
    </row>
    <row r="574" spans="1:4" ht="13.8" x14ac:dyDescent="0.3">
      <c r="A574" s="101"/>
      <c r="B574" s="102"/>
      <c r="D574" s="102"/>
    </row>
    <row r="575" spans="1:4" ht="13.8" x14ac:dyDescent="0.3">
      <c r="A575" s="101"/>
      <c r="B575" s="102"/>
      <c r="D575" s="102"/>
    </row>
    <row r="576" spans="1:4" ht="13.8" x14ac:dyDescent="0.3">
      <c r="A576" s="101"/>
      <c r="B576" s="102"/>
      <c r="D576" s="102"/>
    </row>
    <row r="577" spans="1:4" ht="13.8" x14ac:dyDescent="0.3">
      <c r="A577" s="101"/>
      <c r="B577" s="102"/>
      <c r="D577" s="102"/>
    </row>
    <row r="578" spans="1:4" ht="13.8" x14ac:dyDescent="0.3">
      <c r="A578" s="101"/>
      <c r="B578" s="102"/>
      <c r="D578" s="102"/>
    </row>
    <row r="579" spans="1:4" ht="13.8" x14ac:dyDescent="0.3">
      <c r="A579" s="101"/>
      <c r="B579" s="102"/>
      <c r="D579" s="102"/>
    </row>
    <row r="580" spans="1:4" ht="13.8" x14ac:dyDescent="0.3">
      <c r="A580" s="101"/>
      <c r="B580" s="102"/>
      <c r="D580" s="102"/>
    </row>
    <row r="581" spans="1:4" ht="13.8" x14ac:dyDescent="0.3">
      <c r="A581" s="101"/>
      <c r="B581" s="102"/>
      <c r="D581" s="102"/>
    </row>
    <row r="582" spans="1:4" ht="13.8" x14ac:dyDescent="0.3">
      <c r="A582" s="101"/>
      <c r="B582" s="102"/>
      <c r="D582" s="102"/>
    </row>
    <row r="583" spans="1:4" ht="13.8" x14ac:dyDescent="0.3">
      <c r="A583" s="101"/>
      <c r="B583" s="102"/>
      <c r="D583" s="102"/>
    </row>
    <row r="584" spans="1:4" ht="13.8" x14ac:dyDescent="0.3">
      <c r="A584" s="101"/>
      <c r="B584" s="102"/>
      <c r="D584" s="102"/>
    </row>
    <row r="585" spans="1:4" ht="13.8" x14ac:dyDescent="0.3">
      <c r="A585" s="101"/>
      <c r="B585" s="102"/>
      <c r="D585" s="102"/>
    </row>
    <row r="586" spans="1:4" ht="13.8" x14ac:dyDescent="0.3">
      <c r="A586" s="101"/>
      <c r="B586" s="102"/>
      <c r="D586" s="102"/>
    </row>
    <row r="587" spans="1:4" ht="13.8" x14ac:dyDescent="0.3">
      <c r="A587" s="101"/>
      <c r="B587" s="102"/>
      <c r="D587" s="102"/>
    </row>
    <row r="588" spans="1:4" ht="13.8" x14ac:dyDescent="0.3">
      <c r="A588" s="101"/>
      <c r="B588" s="102"/>
      <c r="D588" s="102"/>
    </row>
    <row r="589" spans="1:4" ht="13.8" x14ac:dyDescent="0.3">
      <c r="A589" s="101"/>
      <c r="B589" s="102"/>
      <c r="D589" s="102"/>
    </row>
    <row r="590" spans="1:4" ht="13.8" x14ac:dyDescent="0.3">
      <c r="A590" s="101"/>
      <c r="B590" s="102"/>
      <c r="D590" s="102"/>
    </row>
    <row r="591" spans="1:4" ht="13.8" x14ac:dyDescent="0.3">
      <c r="A591" s="101"/>
      <c r="B591" s="102"/>
      <c r="D591" s="102"/>
    </row>
    <row r="592" spans="1:4" ht="13.8" x14ac:dyDescent="0.3">
      <c r="A592" s="101"/>
      <c r="B592" s="102"/>
      <c r="D592" s="102"/>
    </row>
    <row r="593" spans="1:4" ht="13.8" x14ac:dyDescent="0.3">
      <c r="A593" s="101"/>
      <c r="B593" s="102"/>
      <c r="D593" s="102"/>
    </row>
    <row r="594" spans="1:4" ht="13.8" x14ac:dyDescent="0.3">
      <c r="A594" s="101"/>
      <c r="B594" s="102"/>
      <c r="D594" s="102"/>
    </row>
    <row r="595" spans="1:4" ht="13.8" x14ac:dyDescent="0.3">
      <c r="A595" s="101"/>
      <c r="B595" s="102"/>
      <c r="D595" s="102"/>
    </row>
    <row r="596" spans="1:4" ht="13.8" x14ac:dyDescent="0.3">
      <c r="A596" s="101"/>
      <c r="B596" s="102"/>
      <c r="D596" s="102"/>
    </row>
    <row r="597" spans="1:4" ht="13.8" x14ac:dyDescent="0.3">
      <c r="A597" s="101"/>
      <c r="B597" s="102"/>
      <c r="D597" s="102"/>
    </row>
    <row r="598" spans="1:4" ht="13.8" x14ac:dyDescent="0.3">
      <c r="A598" s="101"/>
      <c r="B598" s="102"/>
      <c r="D598" s="102"/>
    </row>
    <row r="599" spans="1:4" ht="13.8" x14ac:dyDescent="0.3">
      <c r="A599" s="101"/>
      <c r="B599" s="102"/>
      <c r="D599" s="102"/>
    </row>
    <row r="600" spans="1:4" ht="13.8" x14ac:dyDescent="0.3">
      <c r="A600" s="101"/>
      <c r="B600" s="102"/>
      <c r="D600" s="102"/>
    </row>
    <row r="601" spans="1:4" ht="13.8" x14ac:dyDescent="0.3">
      <c r="A601" s="101"/>
      <c r="B601" s="102"/>
      <c r="D601" s="102"/>
    </row>
    <row r="602" spans="1:4" ht="13.8" x14ac:dyDescent="0.3">
      <c r="A602" s="101"/>
      <c r="B602" s="102"/>
      <c r="D602" s="102"/>
    </row>
    <row r="603" spans="1:4" ht="13.8" x14ac:dyDescent="0.3">
      <c r="A603" s="101"/>
      <c r="B603" s="102"/>
      <c r="D603" s="102"/>
    </row>
    <row r="604" spans="1:4" ht="13.8" x14ac:dyDescent="0.3">
      <c r="A604" s="101"/>
      <c r="B604" s="102"/>
      <c r="D604" s="102"/>
    </row>
    <row r="605" spans="1:4" ht="13.8" x14ac:dyDescent="0.3">
      <c r="A605" s="101"/>
      <c r="B605" s="102"/>
      <c r="D605" s="102"/>
    </row>
    <row r="606" spans="1:4" ht="13.8" x14ac:dyDescent="0.3">
      <c r="A606" s="101"/>
      <c r="B606" s="102"/>
      <c r="D606" s="102"/>
    </row>
    <row r="607" spans="1:4" ht="13.8" x14ac:dyDescent="0.3">
      <c r="A607" s="101"/>
      <c r="B607" s="102"/>
      <c r="D607" s="102"/>
    </row>
    <row r="608" spans="1:4" ht="13.8" x14ac:dyDescent="0.3">
      <c r="A608" s="101"/>
      <c r="B608" s="102"/>
      <c r="D608" s="102"/>
    </row>
    <row r="609" spans="1:4" ht="13.8" x14ac:dyDescent="0.3">
      <c r="A609" s="101"/>
      <c r="B609" s="102"/>
      <c r="D609" s="102"/>
    </row>
    <row r="610" spans="1:4" ht="13.8" x14ac:dyDescent="0.3">
      <c r="A610" s="101"/>
      <c r="B610" s="102"/>
      <c r="D610" s="102"/>
    </row>
    <row r="611" spans="1:4" ht="13.8" x14ac:dyDescent="0.3">
      <c r="A611" s="101"/>
      <c r="B611" s="102"/>
      <c r="D611" s="102"/>
    </row>
    <row r="612" spans="1:4" ht="13.8" x14ac:dyDescent="0.3">
      <c r="A612" s="101"/>
      <c r="B612" s="102"/>
      <c r="D612" s="102"/>
    </row>
    <row r="613" spans="1:4" ht="13.8" x14ac:dyDescent="0.3">
      <c r="A613" s="101"/>
      <c r="B613" s="102"/>
      <c r="D613" s="102"/>
    </row>
    <row r="614" spans="1:4" ht="13.8" x14ac:dyDescent="0.3">
      <c r="A614" s="101"/>
      <c r="B614" s="102"/>
      <c r="D614" s="102"/>
    </row>
    <row r="615" spans="1:4" ht="13.8" x14ac:dyDescent="0.3">
      <c r="A615" s="101"/>
      <c r="B615" s="102"/>
      <c r="D615" s="102"/>
    </row>
    <row r="616" spans="1:4" ht="13.8" x14ac:dyDescent="0.3">
      <c r="A616" s="101"/>
      <c r="B616" s="102"/>
      <c r="D616" s="102"/>
    </row>
    <row r="617" spans="1:4" ht="13.8" x14ac:dyDescent="0.3">
      <c r="A617" s="101"/>
      <c r="B617" s="102"/>
      <c r="D617" s="102"/>
    </row>
    <row r="618" spans="1:4" ht="13.8" x14ac:dyDescent="0.3">
      <c r="A618" s="101"/>
      <c r="B618" s="102"/>
      <c r="D618" s="102"/>
    </row>
    <row r="619" spans="1:4" ht="13.8" x14ac:dyDescent="0.3">
      <c r="A619" s="101"/>
      <c r="B619" s="102"/>
      <c r="D619" s="102"/>
    </row>
    <row r="620" spans="1:4" ht="13.8" x14ac:dyDescent="0.3">
      <c r="A620" s="101"/>
      <c r="B620" s="102"/>
      <c r="D620" s="102"/>
    </row>
    <row r="621" spans="1:4" ht="13.8" x14ac:dyDescent="0.3">
      <c r="A621" s="101"/>
      <c r="B621" s="102"/>
      <c r="D621" s="102"/>
    </row>
    <row r="622" spans="1:4" ht="13.8" x14ac:dyDescent="0.3">
      <c r="A622" s="101"/>
      <c r="B622" s="102"/>
      <c r="D622" s="102"/>
    </row>
    <row r="623" spans="1:4" ht="13.8" x14ac:dyDescent="0.3">
      <c r="A623" s="101"/>
      <c r="B623" s="102"/>
      <c r="D623" s="102"/>
    </row>
    <row r="624" spans="1:4" ht="13.8" x14ac:dyDescent="0.3">
      <c r="A624" s="101"/>
      <c r="B624" s="102"/>
      <c r="D624" s="102"/>
    </row>
    <row r="625" spans="1:4" ht="13.8" x14ac:dyDescent="0.3">
      <c r="A625" s="101"/>
      <c r="B625" s="102"/>
      <c r="D625" s="102"/>
    </row>
    <row r="626" spans="1:4" ht="13.8" x14ac:dyDescent="0.3">
      <c r="A626" s="101"/>
      <c r="B626" s="102"/>
      <c r="D626" s="102"/>
    </row>
    <row r="627" spans="1:4" ht="13.8" x14ac:dyDescent="0.3">
      <c r="A627" s="101"/>
      <c r="B627" s="102"/>
      <c r="D627" s="102"/>
    </row>
    <row r="628" spans="1:4" ht="13.8" x14ac:dyDescent="0.3">
      <c r="A628" s="101"/>
      <c r="B628" s="102"/>
      <c r="D628" s="102"/>
    </row>
    <row r="629" spans="1:4" ht="13.8" x14ac:dyDescent="0.3">
      <c r="A629" s="101"/>
      <c r="B629" s="102"/>
      <c r="D629" s="102"/>
    </row>
    <row r="630" spans="1:4" ht="13.8" x14ac:dyDescent="0.3">
      <c r="A630" s="101"/>
      <c r="B630" s="102"/>
      <c r="D630" s="102"/>
    </row>
    <row r="631" spans="1:4" ht="13.8" x14ac:dyDescent="0.3">
      <c r="A631" s="101"/>
      <c r="B631" s="102"/>
      <c r="D631" s="102"/>
    </row>
    <row r="632" spans="1:4" ht="13.8" x14ac:dyDescent="0.3">
      <c r="A632" s="101"/>
      <c r="B632" s="102"/>
      <c r="D632" s="102"/>
    </row>
    <row r="633" spans="1:4" ht="13.8" x14ac:dyDescent="0.3">
      <c r="A633" s="101"/>
      <c r="B633" s="102"/>
      <c r="D633" s="102"/>
    </row>
    <row r="634" spans="1:4" ht="13.8" x14ac:dyDescent="0.3">
      <c r="A634" s="101"/>
      <c r="B634" s="102"/>
      <c r="D634" s="102"/>
    </row>
    <row r="635" spans="1:4" ht="13.8" x14ac:dyDescent="0.3">
      <c r="A635" s="101"/>
      <c r="B635" s="102"/>
      <c r="D635" s="102"/>
    </row>
    <row r="636" spans="1:4" ht="13.8" x14ac:dyDescent="0.3">
      <c r="A636" s="101"/>
      <c r="B636" s="102"/>
      <c r="D636" s="102"/>
    </row>
    <row r="637" spans="1:4" ht="13.8" x14ac:dyDescent="0.3">
      <c r="A637" s="101"/>
      <c r="B637" s="102"/>
      <c r="D637" s="102"/>
    </row>
    <row r="638" spans="1:4" ht="13.8" x14ac:dyDescent="0.3">
      <c r="A638" s="101"/>
      <c r="B638" s="102"/>
      <c r="D638" s="102"/>
    </row>
    <row r="639" spans="1:4" ht="13.8" x14ac:dyDescent="0.3">
      <c r="A639" s="101"/>
      <c r="B639" s="102"/>
      <c r="D639" s="102"/>
    </row>
    <row r="640" spans="1:4" ht="13.8" x14ac:dyDescent="0.3">
      <c r="A640" s="101"/>
      <c r="B640" s="102"/>
      <c r="D640" s="102"/>
    </row>
    <row r="641" spans="1:4" ht="13.8" x14ac:dyDescent="0.3">
      <c r="A641" s="101"/>
      <c r="B641" s="102"/>
      <c r="D641" s="102"/>
    </row>
    <row r="642" spans="1:4" ht="13.8" x14ac:dyDescent="0.3">
      <c r="A642" s="101"/>
      <c r="B642" s="102"/>
      <c r="D642" s="102"/>
    </row>
    <row r="643" spans="1:4" ht="13.8" x14ac:dyDescent="0.3">
      <c r="A643" s="101"/>
      <c r="B643" s="102"/>
      <c r="D643" s="102"/>
    </row>
    <row r="644" spans="1:4" ht="13.8" x14ac:dyDescent="0.3">
      <c r="A644" s="101"/>
      <c r="B644" s="102"/>
      <c r="D644" s="102"/>
    </row>
    <row r="645" spans="1:4" ht="13.8" x14ac:dyDescent="0.3">
      <c r="A645" s="101"/>
      <c r="B645" s="102"/>
      <c r="D645" s="102"/>
    </row>
    <row r="646" spans="1:4" ht="13.8" x14ac:dyDescent="0.3">
      <c r="A646" s="101"/>
      <c r="B646" s="102"/>
      <c r="D646" s="102"/>
    </row>
    <row r="647" spans="1:4" ht="13.8" x14ac:dyDescent="0.3">
      <c r="A647" s="101"/>
      <c r="B647" s="102"/>
      <c r="D647" s="102"/>
    </row>
    <row r="648" spans="1:4" ht="13.8" x14ac:dyDescent="0.3">
      <c r="A648" s="101"/>
      <c r="B648" s="102"/>
      <c r="D648" s="102"/>
    </row>
    <row r="649" spans="1:4" ht="13.8" x14ac:dyDescent="0.3">
      <c r="A649" s="101"/>
      <c r="B649" s="102"/>
      <c r="D649" s="102"/>
    </row>
    <row r="650" spans="1:4" ht="13.8" x14ac:dyDescent="0.3">
      <c r="A650" s="101"/>
      <c r="B650" s="102"/>
      <c r="D650" s="102"/>
    </row>
    <row r="651" spans="1:4" ht="13.8" x14ac:dyDescent="0.3">
      <c r="A651" s="101"/>
      <c r="B651" s="102"/>
      <c r="D651" s="102"/>
    </row>
    <row r="652" spans="1:4" ht="13.8" x14ac:dyDescent="0.3">
      <c r="A652" s="101"/>
      <c r="B652" s="102"/>
      <c r="D652" s="102"/>
    </row>
    <row r="653" spans="1:4" ht="13.8" x14ac:dyDescent="0.3">
      <c r="A653" s="101"/>
      <c r="B653" s="102"/>
      <c r="D653" s="102"/>
    </row>
    <row r="654" spans="1:4" ht="13.8" x14ac:dyDescent="0.3">
      <c r="A654" s="101"/>
      <c r="B654" s="102"/>
      <c r="D654" s="102"/>
    </row>
    <row r="655" spans="1:4" ht="13.8" x14ac:dyDescent="0.3">
      <c r="A655" s="101"/>
      <c r="B655" s="102"/>
      <c r="D655" s="102"/>
    </row>
    <row r="656" spans="1:4" ht="13.8" x14ac:dyDescent="0.3">
      <c r="A656" s="101"/>
      <c r="B656" s="102"/>
      <c r="D656" s="102"/>
    </row>
    <row r="657" spans="1:4" ht="13.8" x14ac:dyDescent="0.3">
      <c r="A657" s="101"/>
      <c r="B657" s="102"/>
      <c r="D657" s="102"/>
    </row>
    <row r="658" spans="1:4" ht="13.8" x14ac:dyDescent="0.3">
      <c r="A658" s="101"/>
      <c r="B658" s="102"/>
      <c r="D658" s="102"/>
    </row>
    <row r="659" spans="1:4" ht="13.8" x14ac:dyDescent="0.3">
      <c r="A659" s="101"/>
      <c r="B659" s="102"/>
      <c r="D659" s="102"/>
    </row>
    <row r="660" spans="1:4" ht="13.8" x14ac:dyDescent="0.3">
      <c r="A660" s="101"/>
      <c r="B660" s="102"/>
      <c r="D660" s="102"/>
    </row>
    <row r="661" spans="1:4" ht="13.8" x14ac:dyDescent="0.3">
      <c r="A661" s="101"/>
      <c r="B661" s="102"/>
      <c r="D661" s="102"/>
    </row>
    <row r="662" spans="1:4" ht="13.8" x14ac:dyDescent="0.3">
      <c r="A662" s="101"/>
      <c r="B662" s="102"/>
      <c r="D662" s="102"/>
    </row>
    <row r="663" spans="1:4" ht="13.8" x14ac:dyDescent="0.3">
      <c r="A663" s="101"/>
      <c r="B663" s="102"/>
      <c r="D663" s="102"/>
    </row>
    <row r="664" spans="1:4" ht="13.8" x14ac:dyDescent="0.3">
      <c r="A664" s="101"/>
      <c r="B664" s="102"/>
      <c r="D664" s="102"/>
    </row>
    <row r="665" spans="1:4" ht="13.8" x14ac:dyDescent="0.3">
      <c r="A665" s="101"/>
      <c r="B665" s="102"/>
      <c r="D665" s="102"/>
    </row>
    <row r="666" spans="1:4" ht="13.8" x14ac:dyDescent="0.3">
      <c r="A666" s="101"/>
      <c r="B666" s="102"/>
      <c r="D666" s="102"/>
    </row>
    <row r="667" spans="1:4" ht="13.8" x14ac:dyDescent="0.3">
      <c r="A667" s="101"/>
      <c r="B667" s="102"/>
      <c r="D667" s="102"/>
    </row>
    <row r="668" spans="1:4" ht="13.8" x14ac:dyDescent="0.3">
      <c r="A668" s="101"/>
      <c r="B668" s="102"/>
      <c r="D668" s="102"/>
    </row>
    <row r="669" spans="1:4" ht="13.8" x14ac:dyDescent="0.3">
      <c r="A669" s="101"/>
      <c r="B669" s="102"/>
      <c r="D669" s="102"/>
    </row>
    <row r="670" spans="1:4" ht="13.8" x14ac:dyDescent="0.3">
      <c r="A670" s="101"/>
      <c r="B670" s="102"/>
      <c r="D670" s="102"/>
    </row>
    <row r="671" spans="1:4" ht="13.8" x14ac:dyDescent="0.3">
      <c r="A671" s="101"/>
      <c r="B671" s="102"/>
      <c r="D671" s="102"/>
    </row>
    <row r="672" spans="1:4" ht="13.8" x14ac:dyDescent="0.3">
      <c r="A672" s="101"/>
      <c r="B672" s="102"/>
      <c r="D672" s="102"/>
    </row>
    <row r="673" spans="1:4" ht="13.8" x14ac:dyDescent="0.3">
      <c r="A673" s="101"/>
      <c r="B673" s="102"/>
      <c r="D673" s="102"/>
    </row>
    <row r="674" spans="1:4" ht="13.8" x14ac:dyDescent="0.3">
      <c r="A674" s="101"/>
      <c r="B674" s="102"/>
      <c r="D674" s="102"/>
    </row>
    <row r="675" spans="1:4" ht="13.8" x14ac:dyDescent="0.3">
      <c r="A675" s="101"/>
      <c r="B675" s="102"/>
      <c r="D675" s="102"/>
    </row>
    <row r="676" spans="1:4" ht="13.8" x14ac:dyDescent="0.3">
      <c r="A676" s="101"/>
      <c r="B676" s="102"/>
      <c r="D676" s="102"/>
    </row>
    <row r="677" spans="1:4" ht="13.8" x14ac:dyDescent="0.3">
      <c r="A677" s="101"/>
      <c r="B677" s="102"/>
      <c r="D677" s="102"/>
    </row>
    <row r="678" spans="1:4" ht="13.8" x14ac:dyDescent="0.3">
      <c r="A678" s="101"/>
      <c r="B678" s="102"/>
      <c r="D678" s="102"/>
    </row>
    <row r="679" spans="1:4" ht="13.8" x14ac:dyDescent="0.3">
      <c r="A679" s="101"/>
      <c r="B679" s="102"/>
      <c r="D679" s="102"/>
    </row>
    <row r="680" spans="1:4" ht="13.8" x14ac:dyDescent="0.3">
      <c r="A680" s="101"/>
      <c r="B680" s="102"/>
      <c r="D680" s="102"/>
    </row>
    <row r="681" spans="1:4" ht="13.8" x14ac:dyDescent="0.3">
      <c r="A681" s="101"/>
      <c r="B681" s="102"/>
      <c r="D681" s="102"/>
    </row>
    <row r="682" spans="1:4" ht="13.8" x14ac:dyDescent="0.3">
      <c r="A682" s="101"/>
      <c r="B682" s="102"/>
      <c r="D682" s="102"/>
    </row>
    <row r="683" spans="1:4" ht="13.8" x14ac:dyDescent="0.3">
      <c r="A683" s="101"/>
      <c r="B683" s="102"/>
      <c r="D683" s="102"/>
    </row>
    <row r="684" spans="1:4" ht="13.8" x14ac:dyDescent="0.3">
      <c r="A684" s="101"/>
      <c r="B684" s="102"/>
      <c r="D684" s="102"/>
    </row>
    <row r="685" spans="1:4" ht="13.8" x14ac:dyDescent="0.3">
      <c r="A685" s="101"/>
      <c r="B685" s="102"/>
      <c r="D685" s="102"/>
    </row>
    <row r="686" spans="1:4" ht="13.8" x14ac:dyDescent="0.3">
      <c r="A686" s="101"/>
      <c r="B686" s="102"/>
      <c r="D686" s="102"/>
    </row>
    <row r="687" spans="1:4" ht="13.8" x14ac:dyDescent="0.3">
      <c r="A687" s="101"/>
      <c r="B687" s="102"/>
      <c r="D687" s="102"/>
    </row>
    <row r="688" spans="1:4" ht="13.8" x14ac:dyDescent="0.3">
      <c r="A688" s="101"/>
      <c r="B688" s="102"/>
      <c r="D688" s="102"/>
    </row>
    <row r="689" spans="1:4" ht="13.8" x14ac:dyDescent="0.3">
      <c r="A689" s="101"/>
      <c r="B689" s="102"/>
      <c r="D689" s="102"/>
    </row>
    <row r="690" spans="1:4" ht="13.8" x14ac:dyDescent="0.3">
      <c r="A690" s="101"/>
      <c r="B690" s="102"/>
      <c r="D690" s="102"/>
    </row>
    <row r="691" spans="1:4" ht="13.8" x14ac:dyDescent="0.3">
      <c r="A691" s="101"/>
      <c r="B691" s="102"/>
      <c r="D691" s="102"/>
    </row>
    <row r="692" spans="1:4" ht="13.8" x14ac:dyDescent="0.3">
      <c r="A692" s="101"/>
      <c r="B692" s="102"/>
      <c r="D692" s="102"/>
    </row>
    <row r="693" spans="1:4" ht="13.8" x14ac:dyDescent="0.3">
      <c r="A693" s="101"/>
      <c r="B693" s="102"/>
      <c r="D693" s="102"/>
    </row>
    <row r="694" spans="1:4" ht="13.8" x14ac:dyDescent="0.3">
      <c r="A694" s="101"/>
      <c r="B694" s="102"/>
      <c r="D694" s="102"/>
    </row>
    <row r="695" spans="1:4" ht="13.8" x14ac:dyDescent="0.3">
      <c r="A695" s="101"/>
      <c r="B695" s="102"/>
      <c r="D695" s="102"/>
    </row>
    <row r="696" spans="1:4" ht="13.8" x14ac:dyDescent="0.3">
      <c r="A696" s="101"/>
      <c r="B696" s="102"/>
      <c r="D696" s="102"/>
    </row>
    <row r="697" spans="1:4" ht="13.8" x14ac:dyDescent="0.3">
      <c r="A697" s="101"/>
      <c r="B697" s="102"/>
      <c r="D697" s="102"/>
    </row>
    <row r="698" spans="1:4" ht="13.8" x14ac:dyDescent="0.3">
      <c r="A698" s="101"/>
      <c r="B698" s="102"/>
      <c r="D698" s="102"/>
    </row>
    <row r="699" spans="1:4" ht="13.8" x14ac:dyDescent="0.3">
      <c r="A699" s="101"/>
      <c r="B699" s="102"/>
      <c r="D699" s="102"/>
    </row>
    <row r="700" spans="1:4" ht="13.8" x14ac:dyDescent="0.3">
      <c r="A700" s="101"/>
      <c r="B700" s="102"/>
      <c r="D700" s="102"/>
    </row>
    <row r="701" spans="1:4" ht="13.8" x14ac:dyDescent="0.3">
      <c r="A701" s="101"/>
      <c r="B701" s="102"/>
      <c r="D701" s="102"/>
    </row>
    <row r="702" spans="1:4" ht="13.8" x14ac:dyDescent="0.3">
      <c r="A702" s="101"/>
      <c r="B702" s="102"/>
      <c r="D702" s="102"/>
    </row>
    <row r="703" spans="1:4" ht="13.8" x14ac:dyDescent="0.3">
      <c r="A703" s="101"/>
      <c r="B703" s="102"/>
      <c r="D703" s="102"/>
    </row>
    <row r="704" spans="1:4" ht="13.8" x14ac:dyDescent="0.3">
      <c r="A704" s="101"/>
      <c r="B704" s="102"/>
      <c r="D704" s="102"/>
    </row>
    <row r="705" spans="1:4" ht="13.8" x14ac:dyDescent="0.3">
      <c r="A705" s="101"/>
      <c r="B705" s="102"/>
      <c r="D705" s="102"/>
    </row>
    <row r="706" spans="1:4" ht="13.8" x14ac:dyDescent="0.3">
      <c r="A706" s="101"/>
      <c r="B706" s="102"/>
      <c r="D706" s="102"/>
    </row>
    <row r="707" spans="1:4" ht="13.8" x14ac:dyDescent="0.3">
      <c r="A707" s="101"/>
      <c r="B707" s="102"/>
      <c r="D707" s="102"/>
    </row>
    <row r="708" spans="1:4" ht="13.8" x14ac:dyDescent="0.3">
      <c r="A708" s="101"/>
      <c r="B708" s="102"/>
      <c r="D708" s="102"/>
    </row>
    <row r="709" spans="1:4" ht="13.8" x14ac:dyDescent="0.3">
      <c r="A709" s="101"/>
      <c r="B709" s="102"/>
      <c r="D709" s="102"/>
    </row>
    <row r="710" spans="1:4" ht="13.8" x14ac:dyDescent="0.3">
      <c r="A710" s="101"/>
      <c r="B710" s="102"/>
      <c r="D710" s="102"/>
    </row>
    <row r="711" spans="1:4" ht="13.8" x14ac:dyDescent="0.3">
      <c r="A711" s="101"/>
      <c r="B711" s="102"/>
      <c r="D711" s="102"/>
    </row>
    <row r="712" spans="1:4" ht="13.8" x14ac:dyDescent="0.3">
      <c r="A712" s="101"/>
      <c r="B712" s="102"/>
      <c r="D712" s="102"/>
    </row>
    <row r="713" spans="1:4" ht="13.8" x14ac:dyDescent="0.3">
      <c r="A713" s="101"/>
      <c r="B713" s="102"/>
      <c r="D713" s="102"/>
    </row>
    <row r="714" spans="1:4" ht="13.8" x14ac:dyDescent="0.3">
      <c r="A714" s="101"/>
      <c r="B714" s="102"/>
      <c r="D714" s="102"/>
    </row>
    <row r="715" spans="1:4" ht="13.8" x14ac:dyDescent="0.3">
      <c r="A715" s="101"/>
      <c r="B715" s="102"/>
      <c r="D715" s="102"/>
    </row>
    <row r="716" spans="1:4" ht="13.8" x14ac:dyDescent="0.3">
      <c r="A716" s="101"/>
      <c r="B716" s="102"/>
      <c r="D716" s="102"/>
    </row>
    <row r="717" spans="1:4" ht="13.8" x14ac:dyDescent="0.3">
      <c r="A717" s="101"/>
      <c r="B717" s="102"/>
      <c r="D717" s="102"/>
    </row>
    <row r="718" spans="1:4" ht="13.8" x14ac:dyDescent="0.3">
      <c r="A718" s="101"/>
      <c r="B718" s="102"/>
      <c r="D718" s="102"/>
    </row>
    <row r="719" spans="1:4" ht="13.8" x14ac:dyDescent="0.3">
      <c r="A719" s="101"/>
      <c r="B719" s="102"/>
      <c r="D719" s="102"/>
    </row>
    <row r="720" spans="1:4" ht="13.8" x14ac:dyDescent="0.3">
      <c r="A720" s="101"/>
      <c r="B720" s="102"/>
      <c r="D720" s="102"/>
    </row>
    <row r="721" spans="1:4" ht="13.8" x14ac:dyDescent="0.3">
      <c r="A721" s="101"/>
      <c r="B721" s="102"/>
      <c r="D721" s="102"/>
    </row>
    <row r="722" spans="1:4" ht="13.8" x14ac:dyDescent="0.3">
      <c r="A722" s="101"/>
      <c r="B722" s="102"/>
      <c r="D722" s="102"/>
    </row>
    <row r="723" spans="1:4" ht="13.8" x14ac:dyDescent="0.3">
      <c r="A723" s="101"/>
      <c r="B723" s="102"/>
      <c r="D723" s="102"/>
    </row>
    <row r="724" spans="1:4" ht="13.8" x14ac:dyDescent="0.3">
      <c r="A724" s="101"/>
      <c r="B724" s="102"/>
      <c r="D724" s="102"/>
    </row>
    <row r="725" spans="1:4" ht="13.8" x14ac:dyDescent="0.3">
      <c r="A725" s="101"/>
      <c r="B725" s="102"/>
      <c r="D725" s="102"/>
    </row>
    <row r="726" spans="1:4" ht="13.8" x14ac:dyDescent="0.3">
      <c r="A726" s="101"/>
      <c r="B726" s="102"/>
      <c r="D726" s="102"/>
    </row>
    <row r="727" spans="1:4" ht="13.8" x14ac:dyDescent="0.3">
      <c r="A727" s="101"/>
      <c r="B727" s="102"/>
      <c r="D727" s="102"/>
    </row>
    <row r="728" spans="1:4" ht="13.8" x14ac:dyDescent="0.3">
      <c r="A728" s="101"/>
      <c r="B728" s="102"/>
      <c r="D728" s="102"/>
    </row>
    <row r="729" spans="1:4" ht="13.8" x14ac:dyDescent="0.3">
      <c r="A729" s="101"/>
      <c r="B729" s="102"/>
      <c r="D729" s="102"/>
    </row>
    <row r="730" spans="1:4" ht="13.8" x14ac:dyDescent="0.3">
      <c r="A730" s="101"/>
      <c r="B730" s="102"/>
      <c r="D730" s="102"/>
    </row>
    <row r="731" spans="1:4" ht="13.8" x14ac:dyDescent="0.3">
      <c r="A731" s="101"/>
      <c r="B731" s="102"/>
      <c r="D731" s="102"/>
    </row>
    <row r="732" spans="1:4" ht="13.8" x14ac:dyDescent="0.3">
      <c r="A732" s="101"/>
      <c r="B732" s="102"/>
      <c r="D732" s="102"/>
    </row>
    <row r="733" spans="1:4" ht="13.8" x14ac:dyDescent="0.3">
      <c r="A733" s="101"/>
      <c r="B733" s="102"/>
      <c r="D733" s="102"/>
    </row>
    <row r="734" spans="1:4" ht="13.8" x14ac:dyDescent="0.3">
      <c r="A734" s="101"/>
      <c r="B734" s="102"/>
      <c r="D734" s="102"/>
    </row>
    <row r="735" spans="1:4" ht="13.8" x14ac:dyDescent="0.3">
      <c r="A735" s="101"/>
      <c r="B735" s="102"/>
      <c r="D735" s="102"/>
    </row>
    <row r="736" spans="1:4" ht="13.8" x14ac:dyDescent="0.3">
      <c r="A736" s="101"/>
      <c r="B736" s="102"/>
      <c r="D736" s="102"/>
    </row>
    <row r="737" spans="1:4" ht="13.8" x14ac:dyDescent="0.3">
      <c r="A737" s="101"/>
      <c r="B737" s="102"/>
      <c r="D737" s="102"/>
    </row>
    <row r="738" spans="1:4" ht="13.8" x14ac:dyDescent="0.3">
      <c r="A738" s="101"/>
      <c r="B738" s="102"/>
      <c r="D738" s="102"/>
    </row>
    <row r="739" spans="1:4" ht="13.8" x14ac:dyDescent="0.3">
      <c r="A739" s="101"/>
      <c r="B739" s="102"/>
      <c r="D739" s="102"/>
    </row>
    <row r="740" spans="1:4" ht="13.8" x14ac:dyDescent="0.3">
      <c r="A740" s="101"/>
      <c r="B740" s="102"/>
      <c r="D740" s="102"/>
    </row>
    <row r="741" spans="1:4" ht="13.8" x14ac:dyDescent="0.3">
      <c r="A741" s="101"/>
      <c r="B741" s="102"/>
      <c r="D741" s="102"/>
    </row>
    <row r="742" spans="1:4" ht="13.8" x14ac:dyDescent="0.3">
      <c r="A742" s="101"/>
      <c r="B742" s="102"/>
      <c r="D742" s="102"/>
    </row>
    <row r="743" spans="1:4" ht="13.8" x14ac:dyDescent="0.3">
      <c r="A743" s="101"/>
      <c r="B743" s="102"/>
      <c r="D743" s="102"/>
    </row>
    <row r="744" spans="1:4" ht="13.8" x14ac:dyDescent="0.3">
      <c r="A744" s="101"/>
      <c r="B744" s="102"/>
      <c r="D744" s="102"/>
    </row>
    <row r="745" spans="1:4" ht="13.8" x14ac:dyDescent="0.3">
      <c r="A745" s="101"/>
      <c r="B745" s="102"/>
      <c r="D745" s="102"/>
    </row>
    <row r="746" spans="1:4" ht="13.8" x14ac:dyDescent="0.3">
      <c r="A746" s="101"/>
      <c r="B746" s="102"/>
      <c r="D746" s="102"/>
    </row>
    <row r="747" spans="1:4" ht="13.8" x14ac:dyDescent="0.3">
      <c r="A747" s="101"/>
      <c r="B747" s="102"/>
      <c r="D747" s="102"/>
    </row>
    <row r="748" spans="1:4" ht="13.8" x14ac:dyDescent="0.3">
      <c r="A748" s="101"/>
      <c r="B748" s="102"/>
      <c r="D748" s="102"/>
    </row>
    <row r="749" spans="1:4" ht="13.8" x14ac:dyDescent="0.3">
      <c r="A749" s="101"/>
      <c r="B749" s="102"/>
      <c r="D749" s="102"/>
    </row>
    <row r="750" spans="1:4" ht="13.8" x14ac:dyDescent="0.3">
      <c r="A750" s="101"/>
      <c r="B750" s="102"/>
      <c r="D750" s="102"/>
    </row>
    <row r="751" spans="1:4" ht="13.8" x14ac:dyDescent="0.3">
      <c r="A751" s="101"/>
      <c r="B751" s="102"/>
      <c r="D751" s="102"/>
    </row>
    <row r="752" spans="1:4" ht="13.8" x14ac:dyDescent="0.3">
      <c r="A752" s="101"/>
      <c r="B752" s="102"/>
      <c r="D752" s="102"/>
    </row>
    <row r="753" spans="1:4" ht="13.8" x14ac:dyDescent="0.3">
      <c r="A753" s="101"/>
      <c r="B753" s="102"/>
      <c r="D753" s="102"/>
    </row>
    <row r="754" spans="1:4" ht="13.8" x14ac:dyDescent="0.3">
      <c r="A754" s="101"/>
      <c r="B754" s="102"/>
      <c r="D754" s="102"/>
    </row>
    <row r="755" spans="1:4" ht="13.8" x14ac:dyDescent="0.3">
      <c r="A755" s="101"/>
      <c r="B755" s="102"/>
      <c r="D755" s="102"/>
    </row>
    <row r="756" spans="1:4" ht="13.8" x14ac:dyDescent="0.3">
      <c r="A756" s="101"/>
      <c r="B756" s="102"/>
      <c r="D756" s="102"/>
    </row>
    <row r="757" spans="1:4" ht="13.8" x14ac:dyDescent="0.3">
      <c r="A757" s="101"/>
      <c r="B757" s="102"/>
      <c r="D757" s="102"/>
    </row>
    <row r="758" spans="1:4" ht="13.8" x14ac:dyDescent="0.3">
      <c r="A758" s="101"/>
      <c r="B758" s="102"/>
      <c r="D758" s="102"/>
    </row>
    <row r="759" spans="1:4" ht="13.8" x14ac:dyDescent="0.3">
      <c r="A759" s="101"/>
      <c r="B759" s="102"/>
      <c r="D759" s="102"/>
    </row>
    <row r="760" spans="1:4" ht="13.8" x14ac:dyDescent="0.3">
      <c r="A760" s="101"/>
      <c r="B760" s="102"/>
      <c r="D760" s="102"/>
    </row>
    <row r="761" spans="1:4" ht="13.8" x14ac:dyDescent="0.3">
      <c r="A761" s="101"/>
      <c r="B761" s="102"/>
      <c r="D761" s="102"/>
    </row>
    <row r="762" spans="1:4" ht="13.8" x14ac:dyDescent="0.3">
      <c r="A762" s="101"/>
      <c r="B762" s="102"/>
      <c r="D762" s="102"/>
    </row>
    <row r="763" spans="1:4" ht="13.8" x14ac:dyDescent="0.3">
      <c r="A763" s="101"/>
      <c r="B763" s="102"/>
      <c r="D763" s="102"/>
    </row>
    <row r="764" spans="1:4" ht="13.8" x14ac:dyDescent="0.3">
      <c r="A764" s="101"/>
      <c r="B764" s="102"/>
      <c r="D764" s="102"/>
    </row>
    <row r="765" spans="1:4" ht="13.8" x14ac:dyDescent="0.3">
      <c r="A765" s="101"/>
      <c r="B765" s="102"/>
      <c r="D765" s="102"/>
    </row>
    <row r="766" spans="1:4" ht="13.8" x14ac:dyDescent="0.3">
      <c r="A766" s="101"/>
      <c r="B766" s="102"/>
      <c r="D766" s="102"/>
    </row>
    <row r="767" spans="1:4" ht="13.8" x14ac:dyDescent="0.3">
      <c r="A767" s="101"/>
      <c r="B767" s="102"/>
      <c r="D767" s="102"/>
    </row>
    <row r="768" spans="1:4" ht="13.8" x14ac:dyDescent="0.3">
      <c r="A768" s="101"/>
      <c r="B768" s="102"/>
      <c r="D768" s="102"/>
    </row>
    <row r="769" spans="1:4" ht="13.8" x14ac:dyDescent="0.3">
      <c r="A769" s="101"/>
      <c r="B769" s="102"/>
      <c r="D769" s="102"/>
    </row>
    <row r="770" spans="1:4" ht="13.8" x14ac:dyDescent="0.3">
      <c r="A770" s="101"/>
      <c r="B770" s="102"/>
      <c r="D770" s="102"/>
    </row>
    <row r="771" spans="1:4" ht="13.8" x14ac:dyDescent="0.3">
      <c r="A771" s="101"/>
      <c r="B771" s="102"/>
      <c r="D771" s="102"/>
    </row>
    <row r="772" spans="1:4" ht="13.8" x14ac:dyDescent="0.3">
      <c r="A772" s="101"/>
      <c r="B772" s="102"/>
      <c r="D772" s="102"/>
    </row>
    <row r="773" spans="1:4" ht="13.8" x14ac:dyDescent="0.3">
      <c r="A773" s="101"/>
      <c r="B773" s="102"/>
      <c r="D773" s="102"/>
    </row>
    <row r="774" spans="1:4" ht="13.8" x14ac:dyDescent="0.3">
      <c r="A774" s="101"/>
      <c r="B774" s="102"/>
      <c r="D774" s="102"/>
    </row>
    <row r="775" spans="1:4" ht="13.8" x14ac:dyDescent="0.3">
      <c r="A775" s="101"/>
      <c r="B775" s="102"/>
      <c r="D775" s="102"/>
    </row>
    <row r="776" spans="1:4" ht="13.8" x14ac:dyDescent="0.3">
      <c r="A776" s="101"/>
      <c r="B776" s="102"/>
      <c r="D776" s="102"/>
    </row>
    <row r="777" spans="1:4" ht="13.8" x14ac:dyDescent="0.3">
      <c r="A777" s="101"/>
      <c r="B777" s="102"/>
      <c r="D777" s="102"/>
    </row>
    <row r="778" spans="1:4" ht="13.8" x14ac:dyDescent="0.3">
      <c r="A778" s="101"/>
      <c r="B778" s="102"/>
      <c r="D778" s="102"/>
    </row>
    <row r="779" spans="1:4" ht="13.8" x14ac:dyDescent="0.3">
      <c r="A779" s="101"/>
      <c r="B779" s="102"/>
      <c r="D779" s="102"/>
    </row>
    <row r="780" spans="1:4" ht="13.8" x14ac:dyDescent="0.3">
      <c r="A780" s="101"/>
      <c r="B780" s="102"/>
      <c r="D780" s="102"/>
    </row>
    <row r="781" spans="1:4" ht="13.8" x14ac:dyDescent="0.3">
      <c r="A781" s="101"/>
      <c r="B781" s="102"/>
      <c r="D781" s="102"/>
    </row>
    <row r="782" spans="1:4" ht="13.8" x14ac:dyDescent="0.3">
      <c r="A782" s="101"/>
      <c r="B782" s="102"/>
      <c r="D782" s="102"/>
    </row>
    <row r="783" spans="1:4" ht="13.8" x14ac:dyDescent="0.3">
      <c r="A783" s="101"/>
      <c r="B783" s="102"/>
      <c r="D783" s="102"/>
    </row>
    <row r="784" spans="1:4" ht="13.8" x14ac:dyDescent="0.3">
      <c r="A784" s="101"/>
      <c r="B784" s="102"/>
      <c r="D784" s="102"/>
    </row>
    <row r="785" spans="1:4" ht="13.8" x14ac:dyDescent="0.3">
      <c r="A785" s="101"/>
      <c r="B785" s="102"/>
      <c r="D785" s="102"/>
    </row>
    <row r="786" spans="1:4" ht="13.8" x14ac:dyDescent="0.3">
      <c r="A786" s="101"/>
      <c r="B786" s="102"/>
      <c r="D786" s="102"/>
    </row>
    <row r="787" spans="1:4" ht="13.8" x14ac:dyDescent="0.3">
      <c r="A787" s="101"/>
      <c r="B787" s="102"/>
      <c r="D787" s="102"/>
    </row>
    <row r="788" spans="1:4" ht="13.8" x14ac:dyDescent="0.3">
      <c r="A788" s="101"/>
      <c r="B788" s="102"/>
      <c r="D788" s="102"/>
    </row>
    <row r="789" spans="1:4" ht="13.8" x14ac:dyDescent="0.3">
      <c r="A789" s="101"/>
      <c r="B789" s="102"/>
      <c r="D789" s="102"/>
    </row>
    <row r="790" spans="1:4" ht="13.8" x14ac:dyDescent="0.3">
      <c r="A790" s="101"/>
      <c r="B790" s="102"/>
      <c r="D790" s="102"/>
    </row>
    <row r="791" spans="1:4" ht="13.8" x14ac:dyDescent="0.3">
      <c r="A791" s="101"/>
      <c r="B791" s="102"/>
      <c r="D791" s="102"/>
    </row>
    <row r="792" spans="1:4" ht="13.8" x14ac:dyDescent="0.3">
      <c r="A792" s="101"/>
      <c r="B792" s="102"/>
      <c r="D792" s="102"/>
    </row>
    <row r="793" spans="1:4" ht="13.8" x14ac:dyDescent="0.3">
      <c r="A793" s="101"/>
      <c r="B793" s="102"/>
      <c r="D793" s="102"/>
    </row>
    <row r="794" spans="1:4" ht="13.8" x14ac:dyDescent="0.3">
      <c r="A794" s="101"/>
      <c r="B794" s="102"/>
      <c r="D794" s="102"/>
    </row>
    <row r="795" spans="1:4" ht="13.8" x14ac:dyDescent="0.3">
      <c r="A795" s="101"/>
      <c r="B795" s="102"/>
      <c r="D795" s="102"/>
    </row>
    <row r="796" spans="1:4" ht="13.8" x14ac:dyDescent="0.3">
      <c r="A796" s="101"/>
      <c r="B796" s="102"/>
      <c r="D796" s="102"/>
    </row>
    <row r="797" spans="1:4" ht="13.8" x14ac:dyDescent="0.3">
      <c r="A797" s="101"/>
      <c r="B797" s="102"/>
      <c r="D797" s="102"/>
    </row>
    <row r="798" spans="1:4" ht="13.8" x14ac:dyDescent="0.3">
      <c r="A798" s="101"/>
      <c r="B798" s="102"/>
      <c r="D798" s="102"/>
    </row>
    <row r="799" spans="1:4" ht="13.8" x14ac:dyDescent="0.3">
      <c r="A799" s="101"/>
      <c r="B799" s="102"/>
      <c r="D799" s="102"/>
    </row>
    <row r="800" spans="1:4" ht="13.8" x14ac:dyDescent="0.3">
      <c r="A800" s="101"/>
      <c r="B800" s="102"/>
      <c r="D800" s="102"/>
    </row>
    <row r="801" spans="1:4" ht="13.8" x14ac:dyDescent="0.3">
      <c r="A801" s="101"/>
      <c r="B801" s="102"/>
      <c r="D801" s="102"/>
    </row>
    <row r="802" spans="1:4" ht="13.8" x14ac:dyDescent="0.3">
      <c r="A802" s="101"/>
      <c r="B802" s="102"/>
      <c r="D802" s="102"/>
    </row>
    <row r="803" spans="1:4" ht="13.8" x14ac:dyDescent="0.3">
      <c r="A803" s="101"/>
      <c r="B803" s="102"/>
      <c r="D803" s="102"/>
    </row>
    <row r="804" spans="1:4" ht="13.8" x14ac:dyDescent="0.3">
      <c r="A804" s="101"/>
      <c r="B804" s="102"/>
      <c r="D804" s="102"/>
    </row>
    <row r="805" spans="1:4" ht="13.8" x14ac:dyDescent="0.3">
      <c r="A805" s="101"/>
      <c r="B805" s="102"/>
      <c r="D805" s="102"/>
    </row>
    <row r="806" spans="1:4" ht="13.8" x14ac:dyDescent="0.3">
      <c r="A806" s="101"/>
      <c r="B806" s="102"/>
      <c r="D806" s="102"/>
    </row>
    <row r="807" spans="1:4" ht="13.8" x14ac:dyDescent="0.3">
      <c r="A807" s="101"/>
      <c r="B807" s="102"/>
      <c r="D807" s="102"/>
    </row>
    <row r="808" spans="1:4" ht="13.8" x14ac:dyDescent="0.3">
      <c r="A808" s="101"/>
      <c r="B808" s="102"/>
      <c r="D808" s="102"/>
    </row>
    <row r="809" spans="1:4" ht="13.8" x14ac:dyDescent="0.3">
      <c r="A809" s="101"/>
      <c r="B809" s="102"/>
      <c r="D809" s="102"/>
    </row>
    <row r="810" spans="1:4" ht="13.8" x14ac:dyDescent="0.3">
      <c r="A810" s="101"/>
      <c r="B810" s="102"/>
      <c r="D810" s="102"/>
    </row>
    <row r="811" spans="1:4" ht="13.8" x14ac:dyDescent="0.3">
      <c r="A811" s="101"/>
      <c r="B811" s="102"/>
      <c r="D811" s="102"/>
    </row>
    <row r="812" spans="1:4" ht="13.8" x14ac:dyDescent="0.3">
      <c r="A812" s="101"/>
      <c r="B812" s="102"/>
      <c r="D812" s="102"/>
    </row>
    <row r="813" spans="1:4" ht="13.8" x14ac:dyDescent="0.3">
      <c r="A813" s="101"/>
      <c r="B813" s="102"/>
      <c r="D813" s="102"/>
    </row>
    <row r="814" spans="1:4" ht="13.8" x14ac:dyDescent="0.3">
      <c r="A814" s="101"/>
      <c r="B814" s="102"/>
      <c r="D814" s="102"/>
    </row>
    <row r="815" spans="1:4" ht="13.8" x14ac:dyDescent="0.3">
      <c r="A815" s="101"/>
      <c r="B815" s="102"/>
      <c r="D815" s="102"/>
    </row>
    <row r="816" spans="1:4" ht="13.8" x14ac:dyDescent="0.3">
      <c r="A816" s="101"/>
      <c r="B816" s="102"/>
      <c r="D816" s="102"/>
    </row>
    <row r="817" spans="1:4" ht="13.8" x14ac:dyDescent="0.3">
      <c r="A817" s="101"/>
      <c r="B817" s="102"/>
      <c r="D817" s="102"/>
    </row>
    <row r="818" spans="1:4" ht="13.8" x14ac:dyDescent="0.3">
      <c r="A818" s="101"/>
      <c r="B818" s="102"/>
      <c r="D818" s="102"/>
    </row>
    <row r="819" spans="1:4" ht="13.8" x14ac:dyDescent="0.3">
      <c r="A819" s="101"/>
      <c r="B819" s="102"/>
      <c r="D819" s="102"/>
    </row>
    <row r="820" spans="1:4" ht="13.8" x14ac:dyDescent="0.3">
      <c r="A820" s="101"/>
      <c r="B820" s="102"/>
      <c r="D820" s="102"/>
    </row>
    <row r="821" spans="1:4" ht="13.8" x14ac:dyDescent="0.3">
      <c r="A821" s="101"/>
      <c r="B821" s="102"/>
      <c r="D821" s="102"/>
    </row>
    <row r="822" spans="1:4" ht="13.8" x14ac:dyDescent="0.3">
      <c r="A822" s="101"/>
      <c r="B822" s="102"/>
      <c r="D822" s="102"/>
    </row>
    <row r="823" spans="1:4" ht="13.8" x14ac:dyDescent="0.3">
      <c r="A823" s="101"/>
      <c r="B823" s="102"/>
      <c r="D823" s="102"/>
    </row>
    <row r="824" spans="1:4" ht="13.8" x14ac:dyDescent="0.3">
      <c r="A824" s="101"/>
      <c r="B824" s="102"/>
      <c r="D824" s="102"/>
    </row>
    <row r="825" spans="1:4" ht="13.8" x14ac:dyDescent="0.3">
      <c r="A825" s="101"/>
      <c r="B825" s="102"/>
      <c r="D825" s="102"/>
    </row>
    <row r="826" spans="1:4" ht="13.8" x14ac:dyDescent="0.3">
      <c r="A826" s="101"/>
      <c r="B826" s="102"/>
      <c r="D826" s="102"/>
    </row>
    <row r="827" spans="1:4" ht="13.8" x14ac:dyDescent="0.3">
      <c r="A827" s="101"/>
      <c r="B827" s="102"/>
      <c r="D827" s="102"/>
    </row>
    <row r="828" spans="1:4" ht="13.8" x14ac:dyDescent="0.3">
      <c r="A828" s="101"/>
      <c r="B828" s="102"/>
      <c r="D828" s="102"/>
    </row>
    <row r="829" spans="1:4" ht="13.8" x14ac:dyDescent="0.3">
      <c r="A829" s="101"/>
      <c r="B829" s="102"/>
      <c r="D829" s="102"/>
    </row>
    <row r="830" spans="1:4" ht="13.8" x14ac:dyDescent="0.3">
      <c r="A830" s="101"/>
      <c r="B830" s="102"/>
      <c r="D830" s="102"/>
    </row>
    <row r="831" spans="1:4" ht="13.8" x14ac:dyDescent="0.3">
      <c r="A831" s="101"/>
      <c r="B831" s="102"/>
      <c r="D831" s="102"/>
    </row>
    <row r="832" spans="1:4" ht="13.8" x14ac:dyDescent="0.3">
      <c r="A832" s="101"/>
      <c r="B832" s="102"/>
      <c r="D832" s="102"/>
    </row>
    <row r="833" spans="1:4" ht="13.8" x14ac:dyDescent="0.3">
      <c r="A833" s="101"/>
      <c r="B833" s="102"/>
      <c r="D833" s="102"/>
    </row>
    <row r="834" spans="1:4" ht="13.8" x14ac:dyDescent="0.3">
      <c r="A834" s="101"/>
      <c r="B834" s="102"/>
      <c r="D834" s="102"/>
    </row>
    <row r="835" spans="1:4" ht="13.8" x14ac:dyDescent="0.3">
      <c r="A835" s="101"/>
      <c r="B835" s="102"/>
      <c r="D835" s="102"/>
    </row>
    <row r="836" spans="1:4" ht="13.8" x14ac:dyDescent="0.3">
      <c r="A836" s="101"/>
      <c r="B836" s="102"/>
      <c r="D836" s="102"/>
    </row>
    <row r="837" spans="1:4" ht="13.8" x14ac:dyDescent="0.3">
      <c r="A837" s="101"/>
      <c r="B837" s="102"/>
      <c r="D837" s="102"/>
    </row>
    <row r="838" spans="1:4" ht="13.8" x14ac:dyDescent="0.3">
      <c r="A838" s="101"/>
      <c r="B838" s="102"/>
      <c r="D838" s="102"/>
    </row>
    <row r="839" spans="1:4" ht="13.8" x14ac:dyDescent="0.3">
      <c r="A839" s="101"/>
      <c r="B839" s="102"/>
      <c r="D839" s="102"/>
    </row>
    <row r="840" spans="1:4" ht="13.8" x14ac:dyDescent="0.3">
      <c r="A840" s="101"/>
      <c r="B840" s="102"/>
      <c r="D840" s="102"/>
    </row>
    <row r="841" spans="1:4" ht="13.8" x14ac:dyDescent="0.3">
      <c r="A841" s="101"/>
      <c r="B841" s="102"/>
      <c r="D841" s="102"/>
    </row>
    <row r="842" spans="1:4" ht="13.8" x14ac:dyDescent="0.3">
      <c r="A842" s="101"/>
      <c r="B842" s="102"/>
      <c r="D842" s="102"/>
    </row>
    <row r="843" spans="1:4" ht="13.8" x14ac:dyDescent="0.3">
      <c r="A843" s="101"/>
      <c r="B843" s="102"/>
      <c r="D843" s="102"/>
    </row>
    <row r="844" spans="1:4" ht="13.8" x14ac:dyDescent="0.3">
      <c r="A844" s="101"/>
      <c r="B844" s="102"/>
      <c r="D844" s="102"/>
    </row>
    <row r="845" spans="1:4" ht="13.8" x14ac:dyDescent="0.3">
      <c r="A845" s="101"/>
      <c r="B845" s="102"/>
      <c r="D845" s="102"/>
    </row>
    <row r="846" spans="1:4" ht="13.8" x14ac:dyDescent="0.3">
      <c r="A846" s="101"/>
      <c r="B846" s="102"/>
      <c r="D846" s="102"/>
    </row>
    <row r="847" spans="1:4" ht="13.8" x14ac:dyDescent="0.3">
      <c r="A847" s="101"/>
      <c r="B847" s="102"/>
      <c r="D847" s="102"/>
    </row>
    <row r="848" spans="1:4" ht="13.8" x14ac:dyDescent="0.3">
      <c r="A848" s="101"/>
      <c r="B848" s="102"/>
      <c r="D848" s="102"/>
    </row>
    <row r="849" spans="1:4" ht="13.8" x14ac:dyDescent="0.3">
      <c r="A849" s="101"/>
      <c r="B849" s="102"/>
      <c r="D849" s="102"/>
    </row>
    <row r="850" spans="1:4" ht="13.8" x14ac:dyDescent="0.3">
      <c r="A850" s="101"/>
      <c r="B850" s="102"/>
      <c r="D850" s="102"/>
    </row>
    <row r="851" spans="1:4" ht="13.8" x14ac:dyDescent="0.3">
      <c r="A851" s="101"/>
      <c r="B851" s="102"/>
      <c r="D851" s="102"/>
    </row>
    <row r="852" spans="1:4" ht="13.8" x14ac:dyDescent="0.3">
      <c r="A852" s="101"/>
      <c r="B852" s="102"/>
      <c r="D852" s="102"/>
    </row>
    <row r="853" spans="1:4" ht="13.8" x14ac:dyDescent="0.3">
      <c r="A853" s="101"/>
      <c r="B853" s="102"/>
      <c r="D853" s="102"/>
    </row>
    <row r="854" spans="1:4" ht="13.8" x14ac:dyDescent="0.3">
      <c r="A854" s="101"/>
      <c r="B854" s="102"/>
      <c r="D854" s="102"/>
    </row>
    <row r="855" spans="1:4" ht="13.8" x14ac:dyDescent="0.3">
      <c r="A855" s="101"/>
      <c r="B855" s="102"/>
      <c r="D855" s="102"/>
    </row>
    <row r="856" spans="1:4" ht="13.8" x14ac:dyDescent="0.3">
      <c r="A856" s="101"/>
      <c r="B856" s="102"/>
      <c r="D856" s="102"/>
    </row>
    <row r="857" spans="1:4" ht="13.8" x14ac:dyDescent="0.3">
      <c r="A857" s="101"/>
      <c r="B857" s="102"/>
      <c r="D857" s="102"/>
    </row>
    <row r="858" spans="1:4" ht="13.8" x14ac:dyDescent="0.3">
      <c r="A858" s="101"/>
      <c r="B858" s="102"/>
      <c r="D858" s="102"/>
    </row>
    <row r="859" spans="1:4" ht="13.8" x14ac:dyDescent="0.3">
      <c r="A859" s="101"/>
      <c r="B859" s="102"/>
      <c r="D859" s="102"/>
    </row>
    <row r="860" spans="1:4" ht="13.8" x14ac:dyDescent="0.3">
      <c r="A860" s="101"/>
      <c r="B860" s="102"/>
      <c r="D860" s="102"/>
    </row>
    <row r="861" spans="1:4" ht="13.8" x14ac:dyDescent="0.3">
      <c r="A861" s="101"/>
      <c r="B861" s="102"/>
      <c r="D861" s="102"/>
    </row>
    <row r="862" spans="1:4" ht="13.8" x14ac:dyDescent="0.3">
      <c r="A862" s="101"/>
      <c r="B862" s="102"/>
      <c r="D862" s="102"/>
    </row>
    <row r="863" spans="1:4" ht="13.8" x14ac:dyDescent="0.3">
      <c r="A863" s="101"/>
      <c r="B863" s="102"/>
      <c r="D863" s="102"/>
    </row>
    <row r="864" spans="1:4" ht="13.8" x14ac:dyDescent="0.3">
      <c r="A864" s="101"/>
      <c r="B864" s="102"/>
      <c r="D864" s="102"/>
    </row>
    <row r="865" spans="1:4" ht="13.8" x14ac:dyDescent="0.3">
      <c r="A865" s="101"/>
      <c r="B865" s="102"/>
      <c r="D865" s="102"/>
    </row>
    <row r="866" spans="1:4" ht="13.8" x14ac:dyDescent="0.3">
      <c r="A866" s="101"/>
      <c r="B866" s="102"/>
      <c r="D866" s="102"/>
    </row>
    <row r="867" spans="1:4" ht="13.8" x14ac:dyDescent="0.3">
      <c r="A867" s="101"/>
      <c r="B867" s="102"/>
      <c r="D867" s="102"/>
    </row>
    <row r="868" spans="1:4" ht="13.8" x14ac:dyDescent="0.3">
      <c r="A868" s="101"/>
      <c r="B868" s="102"/>
      <c r="D868" s="102"/>
    </row>
    <row r="869" spans="1:4" ht="13.8" x14ac:dyDescent="0.3">
      <c r="A869" s="101"/>
      <c r="B869" s="102"/>
      <c r="D869" s="102"/>
    </row>
    <row r="870" spans="1:4" ht="13.8" x14ac:dyDescent="0.3">
      <c r="A870" s="101"/>
      <c r="B870" s="102"/>
      <c r="D870" s="102"/>
    </row>
    <row r="871" spans="1:4" ht="13.8" x14ac:dyDescent="0.3">
      <c r="A871" s="101"/>
      <c r="B871" s="102"/>
      <c r="D871" s="102"/>
    </row>
    <row r="872" spans="1:4" ht="13.8" x14ac:dyDescent="0.3">
      <c r="A872" s="101"/>
      <c r="B872" s="102"/>
      <c r="D872" s="102"/>
    </row>
    <row r="873" spans="1:4" ht="13.8" x14ac:dyDescent="0.3">
      <c r="A873" s="101"/>
      <c r="B873" s="102"/>
      <c r="D873" s="102"/>
    </row>
    <row r="874" spans="1:4" ht="13.8" x14ac:dyDescent="0.3">
      <c r="A874" s="101"/>
      <c r="B874" s="102"/>
      <c r="D874" s="102"/>
    </row>
    <row r="875" spans="1:4" ht="13.8" x14ac:dyDescent="0.3">
      <c r="A875" s="101"/>
      <c r="B875" s="102"/>
      <c r="D875" s="102"/>
    </row>
    <row r="876" spans="1:4" ht="13.8" x14ac:dyDescent="0.3">
      <c r="A876" s="101"/>
      <c r="B876" s="102"/>
      <c r="D876" s="102"/>
    </row>
    <row r="877" spans="1:4" ht="13.8" x14ac:dyDescent="0.3">
      <c r="A877" s="101"/>
      <c r="B877" s="102"/>
      <c r="D877" s="102"/>
    </row>
    <row r="878" spans="1:4" ht="13.8" x14ac:dyDescent="0.3">
      <c r="A878" s="101"/>
      <c r="B878" s="102"/>
      <c r="D878" s="102"/>
    </row>
    <row r="879" spans="1:4" ht="13.8" x14ac:dyDescent="0.3">
      <c r="A879" s="101"/>
      <c r="B879" s="102"/>
      <c r="D879" s="102"/>
    </row>
    <row r="880" spans="1:4" ht="13.8" x14ac:dyDescent="0.3">
      <c r="A880" s="101"/>
      <c r="B880" s="102"/>
      <c r="D880" s="102"/>
    </row>
    <row r="881" spans="1:4" ht="13.8" x14ac:dyDescent="0.3">
      <c r="A881" s="101"/>
      <c r="B881" s="102"/>
      <c r="D881" s="102"/>
    </row>
    <row r="882" spans="1:4" ht="13.8" x14ac:dyDescent="0.3">
      <c r="A882" s="101"/>
      <c r="B882" s="102"/>
      <c r="D882" s="102"/>
    </row>
    <row r="883" spans="1:4" ht="13.8" x14ac:dyDescent="0.3">
      <c r="A883" s="101"/>
      <c r="B883" s="102"/>
      <c r="D883" s="102"/>
    </row>
    <row r="884" spans="1:4" ht="13.8" x14ac:dyDescent="0.3">
      <c r="A884" s="101"/>
      <c r="B884" s="102"/>
      <c r="D884" s="102"/>
    </row>
    <row r="885" spans="1:4" ht="13.8" x14ac:dyDescent="0.3">
      <c r="A885" s="101"/>
      <c r="B885" s="102"/>
      <c r="D885" s="102"/>
    </row>
    <row r="886" spans="1:4" ht="13.8" x14ac:dyDescent="0.3">
      <c r="A886" s="101"/>
      <c r="B886" s="102"/>
      <c r="D886" s="102"/>
    </row>
    <row r="887" spans="1:4" ht="13.8" x14ac:dyDescent="0.3">
      <c r="A887" s="101"/>
      <c r="B887" s="102"/>
      <c r="D887" s="102"/>
    </row>
    <row r="888" spans="1:4" ht="13.8" x14ac:dyDescent="0.3">
      <c r="A888" s="101"/>
      <c r="B888" s="102"/>
      <c r="D888" s="102"/>
    </row>
    <row r="889" spans="1:4" ht="13.8" x14ac:dyDescent="0.3">
      <c r="A889" s="101"/>
      <c r="B889" s="102"/>
      <c r="D889" s="102"/>
    </row>
    <row r="890" spans="1:4" ht="13.8" x14ac:dyDescent="0.3">
      <c r="A890" s="101"/>
      <c r="B890" s="102"/>
      <c r="D890" s="102"/>
    </row>
    <row r="891" spans="1:4" ht="13.8" x14ac:dyDescent="0.3">
      <c r="A891" s="101"/>
      <c r="B891" s="102"/>
      <c r="D891" s="102"/>
    </row>
    <row r="892" spans="1:4" ht="13.8" x14ac:dyDescent="0.3">
      <c r="A892" s="101"/>
      <c r="B892" s="102"/>
      <c r="D892" s="102"/>
    </row>
    <row r="893" spans="1:4" ht="13.8" x14ac:dyDescent="0.3">
      <c r="A893" s="101"/>
      <c r="B893" s="102"/>
      <c r="D893" s="102"/>
    </row>
    <row r="894" spans="1:4" ht="13.8" x14ac:dyDescent="0.3">
      <c r="A894" s="101"/>
      <c r="B894" s="102"/>
      <c r="D894" s="102"/>
    </row>
    <row r="895" spans="1:4" ht="13.8" x14ac:dyDescent="0.3">
      <c r="A895" s="101"/>
      <c r="B895" s="102"/>
      <c r="D895" s="102"/>
    </row>
    <row r="896" spans="1:4" ht="13.8" x14ac:dyDescent="0.3">
      <c r="A896" s="101"/>
      <c r="B896" s="102"/>
      <c r="D896" s="102"/>
    </row>
    <row r="897" spans="1:4" ht="13.8" x14ac:dyDescent="0.3">
      <c r="A897" s="101"/>
      <c r="B897" s="102"/>
      <c r="D897" s="102"/>
    </row>
    <row r="898" spans="1:4" ht="13.8" x14ac:dyDescent="0.3">
      <c r="A898" s="101"/>
      <c r="B898" s="102"/>
      <c r="D898" s="102"/>
    </row>
    <row r="899" spans="1:4" ht="13.8" x14ac:dyDescent="0.3">
      <c r="A899" s="101"/>
      <c r="B899" s="102"/>
      <c r="D899" s="102"/>
    </row>
    <row r="900" spans="1:4" ht="13.8" x14ac:dyDescent="0.3">
      <c r="A900" s="101"/>
      <c r="B900" s="102"/>
      <c r="D900" s="102"/>
    </row>
    <row r="901" spans="1:4" ht="13.8" x14ac:dyDescent="0.3">
      <c r="A901" s="101"/>
      <c r="B901" s="102"/>
      <c r="D901" s="102"/>
    </row>
    <row r="902" spans="1:4" ht="13.8" x14ac:dyDescent="0.3">
      <c r="A902" s="101"/>
      <c r="B902" s="102"/>
      <c r="D902" s="102"/>
    </row>
    <row r="903" spans="1:4" ht="13.8" x14ac:dyDescent="0.3">
      <c r="A903" s="101"/>
      <c r="B903" s="102"/>
      <c r="D903" s="102"/>
    </row>
    <row r="904" spans="1:4" ht="13.8" x14ac:dyDescent="0.3">
      <c r="A904" s="101"/>
      <c r="B904" s="102"/>
      <c r="D904" s="102"/>
    </row>
    <row r="905" spans="1:4" ht="13.8" x14ac:dyDescent="0.3">
      <c r="A905" s="101"/>
      <c r="B905" s="102"/>
      <c r="D905" s="102"/>
    </row>
    <row r="906" spans="1:4" ht="13.8" x14ac:dyDescent="0.3">
      <c r="A906" s="101"/>
      <c r="B906" s="102"/>
      <c r="D906" s="102"/>
    </row>
    <row r="907" spans="1:4" ht="13.8" x14ac:dyDescent="0.3">
      <c r="A907" s="101"/>
      <c r="B907" s="102"/>
      <c r="D907" s="102"/>
    </row>
    <row r="908" spans="1:4" ht="13.8" x14ac:dyDescent="0.3">
      <c r="A908" s="101"/>
      <c r="B908" s="102"/>
      <c r="D908" s="102"/>
    </row>
    <row r="909" spans="1:4" ht="13.8" x14ac:dyDescent="0.3">
      <c r="A909" s="101"/>
      <c r="B909" s="102"/>
      <c r="D909" s="102"/>
    </row>
    <row r="910" spans="1:4" ht="13.8" x14ac:dyDescent="0.3">
      <c r="A910" s="101"/>
      <c r="B910" s="102"/>
      <c r="D910" s="102"/>
    </row>
    <row r="911" spans="1:4" ht="13.8" x14ac:dyDescent="0.3">
      <c r="A911" s="101"/>
      <c r="B911" s="102"/>
      <c r="D911" s="102"/>
    </row>
    <row r="912" spans="1:4" ht="13.8" x14ac:dyDescent="0.3">
      <c r="A912" s="101"/>
      <c r="B912" s="102"/>
      <c r="D912" s="102"/>
    </row>
    <row r="913" spans="1:4" ht="13.8" x14ac:dyDescent="0.3">
      <c r="A913" s="101"/>
      <c r="B913" s="102"/>
      <c r="D913" s="102"/>
    </row>
    <row r="914" spans="1:4" ht="13.8" x14ac:dyDescent="0.3">
      <c r="A914" s="101"/>
      <c r="B914" s="102"/>
      <c r="D914" s="102"/>
    </row>
    <row r="915" spans="1:4" ht="13.8" x14ac:dyDescent="0.3">
      <c r="A915" s="101"/>
      <c r="B915" s="102"/>
      <c r="D915" s="102"/>
    </row>
    <row r="916" spans="1:4" ht="13.8" x14ac:dyDescent="0.3">
      <c r="A916" s="101"/>
      <c r="B916" s="102"/>
      <c r="D916" s="102"/>
    </row>
    <row r="917" spans="1:4" ht="13.8" x14ac:dyDescent="0.3">
      <c r="A917" s="101"/>
      <c r="B917" s="102"/>
      <c r="D917" s="102"/>
    </row>
    <row r="918" spans="1:4" ht="13.8" x14ac:dyDescent="0.3">
      <c r="A918" s="101"/>
      <c r="B918" s="102"/>
      <c r="D918" s="102"/>
    </row>
    <row r="919" spans="1:4" ht="13.8" x14ac:dyDescent="0.3">
      <c r="A919" s="101"/>
      <c r="B919" s="102"/>
      <c r="D919" s="102"/>
    </row>
    <row r="920" spans="1:4" ht="13.8" x14ac:dyDescent="0.3">
      <c r="A920" s="101"/>
      <c r="B920" s="102"/>
      <c r="D920" s="102"/>
    </row>
    <row r="921" spans="1:4" ht="13.8" x14ac:dyDescent="0.3">
      <c r="A921" s="101"/>
      <c r="B921" s="102"/>
      <c r="D921" s="102"/>
    </row>
    <row r="922" spans="1:4" ht="13.8" x14ac:dyDescent="0.3">
      <c r="A922" s="101"/>
      <c r="B922" s="102"/>
      <c r="D922" s="102"/>
    </row>
    <row r="923" spans="1:4" ht="13.8" x14ac:dyDescent="0.3">
      <c r="A923" s="101"/>
      <c r="B923" s="102"/>
      <c r="D923" s="102"/>
    </row>
    <row r="924" spans="1:4" ht="13.8" x14ac:dyDescent="0.3">
      <c r="A924" s="101"/>
      <c r="B924" s="102"/>
      <c r="D924" s="102"/>
    </row>
    <row r="925" spans="1:4" ht="13.8" x14ac:dyDescent="0.3">
      <c r="A925" s="101"/>
      <c r="B925" s="102"/>
      <c r="D925" s="102"/>
    </row>
    <row r="926" spans="1:4" ht="13.8" x14ac:dyDescent="0.3">
      <c r="A926" s="101"/>
      <c r="B926" s="102"/>
      <c r="D926" s="102"/>
    </row>
    <row r="927" spans="1:4" ht="13.8" x14ac:dyDescent="0.3">
      <c r="A927" s="101"/>
      <c r="B927" s="102"/>
      <c r="D927" s="102"/>
    </row>
    <row r="928" spans="1:4" ht="13.8" x14ac:dyDescent="0.3">
      <c r="A928" s="101"/>
      <c r="B928" s="102"/>
      <c r="D928" s="102"/>
    </row>
    <row r="929" spans="1:4" ht="13.8" x14ac:dyDescent="0.3">
      <c r="A929" s="101"/>
      <c r="B929" s="102"/>
      <c r="D929" s="102"/>
    </row>
    <row r="930" spans="1:4" ht="13.8" x14ac:dyDescent="0.3">
      <c r="A930" s="101"/>
      <c r="B930" s="102"/>
      <c r="D930" s="102"/>
    </row>
    <row r="931" spans="1:4" ht="13.8" x14ac:dyDescent="0.3">
      <c r="A931" s="101"/>
      <c r="B931" s="102"/>
      <c r="D931" s="102"/>
    </row>
    <row r="932" spans="1:4" ht="13.8" x14ac:dyDescent="0.3">
      <c r="A932" s="101"/>
      <c r="B932" s="102"/>
      <c r="D932" s="102"/>
    </row>
    <row r="933" spans="1:4" ht="13.8" x14ac:dyDescent="0.3">
      <c r="A933" s="101"/>
      <c r="B933" s="102"/>
      <c r="D933" s="102"/>
    </row>
    <row r="934" spans="1:4" ht="13.8" x14ac:dyDescent="0.3">
      <c r="A934" s="101"/>
      <c r="B934" s="102"/>
      <c r="D934" s="102"/>
    </row>
    <row r="935" spans="1:4" ht="13.8" x14ac:dyDescent="0.3">
      <c r="A935" s="101"/>
      <c r="B935" s="102"/>
      <c r="D935" s="102"/>
    </row>
    <row r="936" spans="1:4" ht="13.8" x14ac:dyDescent="0.3">
      <c r="A936" s="101"/>
      <c r="B936" s="102"/>
      <c r="D936" s="102"/>
    </row>
    <row r="937" spans="1:4" ht="13.8" x14ac:dyDescent="0.3">
      <c r="A937" s="101"/>
      <c r="B937" s="102"/>
      <c r="D937" s="102"/>
    </row>
    <row r="938" spans="1:4" ht="13.8" x14ac:dyDescent="0.3">
      <c r="A938" s="101"/>
      <c r="B938" s="102"/>
      <c r="D938" s="102"/>
    </row>
    <row r="939" spans="1:4" ht="13.8" x14ac:dyDescent="0.3">
      <c r="A939" s="101"/>
      <c r="B939" s="102"/>
      <c r="D939" s="102"/>
    </row>
    <row r="940" spans="1:4" ht="13.8" x14ac:dyDescent="0.3">
      <c r="A940" s="101"/>
      <c r="B940" s="102"/>
      <c r="D940" s="102"/>
    </row>
    <row r="941" spans="1:4" ht="13.8" x14ac:dyDescent="0.3">
      <c r="A941" s="101"/>
      <c r="B941" s="102"/>
      <c r="D941" s="102"/>
    </row>
    <row r="942" spans="1:4" ht="13.8" x14ac:dyDescent="0.3">
      <c r="A942" s="101"/>
      <c r="B942" s="102"/>
      <c r="D942" s="102"/>
    </row>
    <row r="943" spans="1:4" ht="13.8" x14ac:dyDescent="0.3">
      <c r="A943" s="101"/>
      <c r="B943" s="102"/>
      <c r="D943" s="102"/>
    </row>
    <row r="944" spans="1:4" ht="13.8" x14ac:dyDescent="0.3">
      <c r="A944" s="101"/>
      <c r="B944" s="102"/>
      <c r="D944" s="102"/>
    </row>
    <row r="945" spans="1:4" ht="13.8" x14ac:dyDescent="0.3">
      <c r="A945" s="101"/>
      <c r="B945" s="102"/>
      <c r="D945" s="102"/>
    </row>
    <row r="946" spans="1:4" ht="13.8" x14ac:dyDescent="0.3">
      <c r="A946" s="101"/>
      <c r="B946" s="102"/>
      <c r="D946" s="102"/>
    </row>
    <row r="947" spans="1:4" ht="13.8" x14ac:dyDescent="0.3">
      <c r="A947" s="101"/>
      <c r="B947" s="102"/>
      <c r="D947" s="102"/>
    </row>
    <row r="948" spans="1:4" ht="13.8" x14ac:dyDescent="0.3">
      <c r="A948" s="101"/>
      <c r="B948" s="102"/>
      <c r="D948" s="102"/>
    </row>
    <row r="949" spans="1:4" ht="13.8" x14ac:dyDescent="0.3">
      <c r="A949" s="101"/>
      <c r="B949" s="102"/>
      <c r="D949" s="102"/>
    </row>
    <row r="950" spans="1:4" ht="13.8" x14ac:dyDescent="0.3">
      <c r="A950" s="101"/>
      <c r="B950" s="102"/>
      <c r="D950" s="102"/>
    </row>
    <row r="951" spans="1:4" ht="13.8" x14ac:dyDescent="0.3">
      <c r="A951" s="101"/>
      <c r="B951" s="102"/>
      <c r="D951" s="102"/>
    </row>
    <row r="952" spans="1:4" ht="13.8" x14ac:dyDescent="0.3">
      <c r="A952" s="101"/>
      <c r="B952" s="102"/>
      <c r="D952" s="102"/>
    </row>
    <row r="953" spans="1:4" ht="13.8" x14ac:dyDescent="0.3">
      <c r="A953" s="101"/>
      <c r="B953" s="102"/>
      <c r="D953" s="102"/>
    </row>
    <row r="954" spans="1:4" ht="13.8" x14ac:dyDescent="0.3">
      <c r="A954" s="101"/>
      <c r="B954" s="102"/>
      <c r="D954" s="102"/>
    </row>
    <row r="955" spans="1:4" ht="13.8" x14ac:dyDescent="0.3">
      <c r="A955" s="101"/>
      <c r="B955" s="102"/>
      <c r="D955" s="102"/>
    </row>
    <row r="956" spans="1:4" ht="13.8" x14ac:dyDescent="0.3">
      <c r="A956" s="101"/>
      <c r="B956" s="102"/>
      <c r="D956" s="102"/>
    </row>
    <row r="957" spans="1:4" ht="13.8" x14ac:dyDescent="0.3">
      <c r="A957" s="101"/>
      <c r="B957" s="102"/>
      <c r="D957" s="102"/>
    </row>
    <row r="958" spans="1:4" ht="13.8" x14ac:dyDescent="0.3">
      <c r="A958" s="101"/>
      <c r="B958" s="102"/>
      <c r="D958" s="102"/>
    </row>
    <row r="959" spans="1:4" ht="13.8" x14ac:dyDescent="0.3">
      <c r="A959" s="101"/>
      <c r="B959" s="102"/>
      <c r="D959" s="102"/>
    </row>
    <row r="960" spans="1:4" ht="13.8" x14ac:dyDescent="0.3">
      <c r="A960" s="101"/>
      <c r="B960" s="102"/>
      <c r="D960" s="102"/>
    </row>
    <row r="961" spans="1:4" ht="13.8" x14ac:dyDescent="0.3">
      <c r="A961" s="101"/>
      <c r="B961" s="102"/>
      <c r="D961" s="102"/>
    </row>
    <row r="962" spans="1:4" ht="13.8" x14ac:dyDescent="0.3">
      <c r="A962" s="101"/>
      <c r="B962" s="102"/>
      <c r="D962" s="102"/>
    </row>
    <row r="963" spans="1:4" ht="13.8" x14ac:dyDescent="0.3">
      <c r="A963" s="101"/>
      <c r="B963" s="102"/>
      <c r="D963" s="102"/>
    </row>
    <row r="964" spans="1:4" ht="13.8" x14ac:dyDescent="0.3">
      <c r="A964" s="101"/>
      <c r="B964" s="102"/>
      <c r="D964" s="102"/>
    </row>
    <row r="965" spans="1:4" ht="13.8" x14ac:dyDescent="0.3">
      <c r="A965" s="101"/>
      <c r="B965" s="102"/>
      <c r="D965" s="102"/>
    </row>
    <row r="966" spans="1:4" ht="13.8" x14ac:dyDescent="0.3">
      <c r="A966" s="101"/>
      <c r="B966" s="102"/>
      <c r="D966" s="102"/>
    </row>
    <row r="967" spans="1:4" ht="13.8" x14ac:dyDescent="0.3">
      <c r="A967" s="101"/>
      <c r="B967" s="102"/>
      <c r="D967" s="102"/>
    </row>
    <row r="968" spans="1:4" ht="13.8" x14ac:dyDescent="0.3">
      <c r="A968" s="101"/>
      <c r="B968" s="102"/>
      <c r="D968" s="102"/>
    </row>
    <row r="969" spans="1:4" ht="13.8" x14ac:dyDescent="0.3">
      <c r="A969" s="101"/>
      <c r="B969" s="102"/>
      <c r="D969" s="102"/>
    </row>
    <row r="970" spans="1:4" ht="13.8" x14ac:dyDescent="0.3">
      <c r="A970" s="101"/>
      <c r="B970" s="102"/>
      <c r="D970" s="102"/>
    </row>
    <row r="971" spans="1:4" ht="13.8" x14ac:dyDescent="0.3">
      <c r="A971" s="101"/>
      <c r="B971" s="102"/>
      <c r="D971" s="102"/>
    </row>
    <row r="972" spans="1:4" ht="13.8" x14ac:dyDescent="0.3">
      <c r="A972" s="101"/>
      <c r="B972" s="102"/>
      <c r="D972" s="102"/>
    </row>
    <row r="973" spans="1:4" ht="13.8" x14ac:dyDescent="0.3">
      <c r="A973" s="101"/>
      <c r="B973" s="102"/>
      <c r="D973" s="102"/>
    </row>
    <row r="974" spans="1:4" ht="13.8" x14ac:dyDescent="0.3">
      <c r="A974" s="101"/>
      <c r="B974" s="102"/>
      <c r="D974" s="102"/>
    </row>
    <row r="975" spans="1:4" ht="13.8" x14ac:dyDescent="0.3">
      <c r="A975" s="101"/>
      <c r="B975" s="102"/>
      <c r="D975" s="102"/>
    </row>
    <row r="976" spans="1:4" ht="13.8" x14ac:dyDescent="0.3">
      <c r="A976" s="101"/>
      <c r="B976" s="102"/>
      <c r="D976" s="102"/>
    </row>
    <row r="977" spans="1:4" ht="13.8" x14ac:dyDescent="0.3">
      <c r="A977" s="101"/>
      <c r="B977" s="102"/>
      <c r="D977" s="102"/>
    </row>
    <row r="978" spans="1:4" ht="13.8" x14ac:dyDescent="0.3">
      <c r="A978" s="101"/>
      <c r="B978" s="102"/>
      <c r="D978" s="102"/>
    </row>
    <row r="979" spans="1:4" ht="13.8" x14ac:dyDescent="0.3">
      <c r="A979" s="101"/>
      <c r="B979" s="102"/>
      <c r="D979" s="102"/>
    </row>
    <row r="980" spans="1:4" ht="13.8" x14ac:dyDescent="0.3">
      <c r="A980" s="101"/>
      <c r="B980" s="102"/>
      <c r="D980" s="102"/>
    </row>
    <row r="981" spans="1:4" ht="13.8" x14ac:dyDescent="0.3">
      <c r="A981" s="101"/>
      <c r="B981" s="102"/>
      <c r="D981" s="102"/>
    </row>
    <row r="982" spans="1:4" ht="13.8" x14ac:dyDescent="0.3">
      <c r="A982" s="101"/>
      <c r="B982" s="102"/>
      <c r="D982" s="102"/>
    </row>
    <row r="983" spans="1:4" ht="13.8" x14ac:dyDescent="0.3">
      <c r="A983" s="101"/>
      <c r="B983" s="102"/>
      <c r="D983" s="102"/>
    </row>
    <row r="984" spans="1:4" ht="13.8" x14ac:dyDescent="0.3">
      <c r="A984" s="101"/>
      <c r="B984" s="102"/>
      <c r="D984" s="102"/>
    </row>
    <row r="985" spans="1:4" ht="13.8" x14ac:dyDescent="0.3">
      <c r="A985" s="101"/>
      <c r="B985" s="102"/>
      <c r="D985" s="102"/>
    </row>
    <row r="986" spans="1:4" ht="13.8" x14ac:dyDescent="0.3">
      <c r="A986" s="101"/>
      <c r="B986" s="102"/>
      <c r="D986" s="102"/>
    </row>
    <row r="987" spans="1:4" ht="13.8" x14ac:dyDescent="0.3">
      <c r="A987" s="101"/>
      <c r="B987" s="102"/>
      <c r="D987" s="102"/>
    </row>
    <row r="988" spans="1:4" ht="13.8" x14ac:dyDescent="0.3">
      <c r="A988" s="101"/>
      <c r="B988" s="102"/>
      <c r="D988" s="102"/>
    </row>
    <row r="989" spans="1:4" ht="13.8" x14ac:dyDescent="0.3">
      <c r="A989" s="101"/>
      <c r="B989" s="102"/>
      <c r="D989" s="102"/>
    </row>
    <row r="990" spans="1:4" ht="13.8" x14ac:dyDescent="0.3">
      <c r="A990" s="101"/>
      <c r="B990" s="102"/>
      <c r="D990" s="102"/>
    </row>
    <row r="991" spans="1:4" ht="13.8" x14ac:dyDescent="0.3">
      <c r="A991" s="101"/>
      <c r="B991" s="102"/>
      <c r="D991" s="102"/>
    </row>
    <row r="992" spans="1:4" ht="13.8" x14ac:dyDescent="0.3">
      <c r="A992" s="101"/>
      <c r="B992" s="102"/>
      <c r="D992" s="102"/>
    </row>
    <row r="993" spans="1:4" ht="13.8" x14ac:dyDescent="0.3">
      <c r="A993" s="101"/>
      <c r="B993" s="102"/>
      <c r="D993" s="102"/>
    </row>
    <row r="994" spans="1:4" ht="13.8" x14ac:dyDescent="0.3">
      <c r="A994" s="101"/>
      <c r="B994" s="102"/>
      <c r="D994" s="102"/>
    </row>
    <row r="995" spans="1:4" ht="13.8" x14ac:dyDescent="0.3">
      <c r="A995" s="101"/>
      <c r="B995" s="102"/>
      <c r="D995" s="102"/>
    </row>
    <row r="996" spans="1:4" ht="13.8" x14ac:dyDescent="0.3">
      <c r="A996" s="101"/>
      <c r="B996" s="102"/>
      <c r="D996" s="102"/>
    </row>
    <row r="997" spans="1:4" ht="13.8" x14ac:dyDescent="0.3">
      <c r="A997" s="101"/>
      <c r="B997" s="102"/>
      <c r="D997" s="102"/>
    </row>
    <row r="998" spans="1:4" ht="13.8" x14ac:dyDescent="0.3">
      <c r="A998" s="101"/>
      <c r="B998" s="102"/>
      <c r="D998" s="102"/>
    </row>
    <row r="999" spans="1:4" ht="13.8" x14ac:dyDescent="0.3">
      <c r="A999" s="101"/>
      <c r="B999" s="102"/>
      <c r="D999" s="102"/>
    </row>
    <row r="1000" spans="1:4" ht="13.8" x14ac:dyDescent="0.3">
      <c r="A1000" s="101"/>
      <c r="B1000" s="102"/>
      <c r="D1000" s="102"/>
    </row>
    <row r="1001" spans="1:4" ht="13.8" x14ac:dyDescent="0.3">
      <c r="A1001" s="101"/>
      <c r="B1001" s="102"/>
      <c r="D1001" s="102"/>
    </row>
    <row r="1002" spans="1:4" ht="13.8" x14ac:dyDescent="0.3">
      <c r="A1002" s="101"/>
      <c r="B1002" s="102"/>
      <c r="D1002" s="102"/>
    </row>
    <row r="1003" spans="1:4" ht="13.8" x14ac:dyDescent="0.3">
      <c r="A1003" s="101"/>
      <c r="B1003" s="102"/>
      <c r="D1003" s="102"/>
    </row>
    <row r="1004" spans="1:4" ht="13.8" x14ac:dyDescent="0.3">
      <c r="A1004" s="101"/>
      <c r="B1004" s="102"/>
      <c r="D1004" s="102"/>
    </row>
    <row r="1005" spans="1:4" ht="13.8" x14ac:dyDescent="0.3">
      <c r="A1005" s="101"/>
      <c r="B1005" s="102"/>
      <c r="D1005" s="102"/>
    </row>
    <row r="1006" spans="1:4" ht="13.8" x14ac:dyDescent="0.3">
      <c r="A1006" s="101"/>
      <c r="B1006" s="102"/>
      <c r="D1006" s="102"/>
    </row>
    <row r="1007" spans="1:4" ht="13.8" x14ac:dyDescent="0.3">
      <c r="A1007" s="101"/>
      <c r="B1007" s="102"/>
      <c r="D1007" s="102"/>
    </row>
    <row r="1008" spans="1:4" ht="13.8" x14ac:dyDescent="0.3">
      <c r="A1008" s="101"/>
      <c r="B1008" s="102"/>
      <c r="D1008" s="102"/>
    </row>
    <row r="1009" spans="1:4" ht="13.8" x14ac:dyDescent="0.3">
      <c r="A1009" s="101"/>
      <c r="B1009" s="102"/>
      <c r="D1009" s="102"/>
    </row>
    <row r="1010" spans="1:4" ht="13.8" x14ac:dyDescent="0.3">
      <c r="A1010" s="101"/>
      <c r="B1010" s="102"/>
      <c r="D1010" s="102"/>
    </row>
    <row r="1011" spans="1:4" ht="13.8" x14ac:dyDescent="0.3">
      <c r="A1011" s="101"/>
      <c r="B1011" s="102"/>
      <c r="D1011" s="102"/>
    </row>
    <row r="1012" spans="1:4" ht="13.8" x14ac:dyDescent="0.3">
      <c r="A1012" s="101"/>
      <c r="B1012" s="102"/>
      <c r="D1012" s="102"/>
    </row>
    <row r="1013" spans="1:4" ht="13.8" x14ac:dyDescent="0.3">
      <c r="A1013" s="101"/>
      <c r="B1013" s="102"/>
      <c r="D1013" s="102"/>
    </row>
    <row r="1014" spans="1:4" ht="13.8" x14ac:dyDescent="0.3">
      <c r="A1014" s="101"/>
      <c r="B1014" s="102"/>
      <c r="D1014" s="102"/>
    </row>
    <row r="1015" spans="1:4" ht="13.8" x14ac:dyDescent="0.3">
      <c r="A1015" s="101"/>
      <c r="B1015" s="102"/>
      <c r="D1015" s="102"/>
    </row>
    <row r="1016" spans="1:4" ht="13.8" x14ac:dyDescent="0.3">
      <c r="A1016" s="101"/>
      <c r="B1016" s="102"/>
      <c r="D1016" s="102"/>
    </row>
    <row r="1017" spans="1:4" ht="13.8" x14ac:dyDescent="0.3">
      <c r="A1017" s="101"/>
      <c r="B1017" s="102"/>
      <c r="D1017" s="102"/>
    </row>
    <row r="1018" spans="1:4" ht="13.8" x14ac:dyDescent="0.3">
      <c r="A1018" s="101"/>
      <c r="B1018" s="102"/>
      <c r="D1018" s="102"/>
    </row>
    <row r="1019" spans="1:4" ht="13.8" x14ac:dyDescent="0.3">
      <c r="A1019" s="101"/>
      <c r="B1019" s="102"/>
      <c r="D1019" s="102"/>
    </row>
    <row r="1020" spans="1:4" ht="13.8" x14ac:dyDescent="0.3">
      <c r="A1020" s="101"/>
      <c r="B1020" s="102"/>
      <c r="D1020" s="102"/>
    </row>
    <row r="1021" spans="1:4" ht="13.8" x14ac:dyDescent="0.3">
      <c r="A1021" s="101"/>
      <c r="B1021" s="102"/>
      <c r="D1021" s="102"/>
    </row>
    <row r="1022" spans="1:4" ht="13.8" x14ac:dyDescent="0.3">
      <c r="A1022" s="101"/>
      <c r="B1022" s="102"/>
      <c r="D1022" s="102"/>
    </row>
    <row r="1023" spans="1:4" ht="13.8" x14ac:dyDescent="0.3">
      <c r="A1023" s="101"/>
      <c r="B1023" s="102"/>
      <c r="D1023" s="102"/>
    </row>
    <row r="1024" spans="1:4" ht="13.8" x14ac:dyDescent="0.3">
      <c r="A1024" s="101"/>
      <c r="B1024" s="102"/>
      <c r="D1024" s="102"/>
    </row>
    <row r="1025" spans="1:4" ht="13.8" x14ac:dyDescent="0.3">
      <c r="A1025" s="101"/>
      <c r="B1025" s="102"/>
      <c r="D1025" s="102"/>
    </row>
    <row r="1026" spans="1:4" ht="13.8" x14ac:dyDescent="0.3">
      <c r="A1026" s="101"/>
      <c r="B1026" s="102"/>
      <c r="D1026" s="102"/>
    </row>
    <row r="1027" spans="1:4" ht="13.8" x14ac:dyDescent="0.3">
      <c r="A1027" s="101"/>
      <c r="B1027" s="102"/>
      <c r="D1027" s="102"/>
    </row>
    <row r="1028" spans="1:4" ht="13.8" x14ac:dyDescent="0.3">
      <c r="A1028" s="101"/>
      <c r="B1028" s="102"/>
      <c r="D1028" s="102"/>
    </row>
    <row r="1029" spans="1:4" ht="13.8" x14ac:dyDescent="0.3">
      <c r="A1029" s="101"/>
      <c r="B1029" s="102"/>
      <c r="D1029" s="102"/>
    </row>
    <row r="1030" spans="1:4" ht="13.8" x14ac:dyDescent="0.3">
      <c r="A1030" s="101"/>
      <c r="B1030" s="102"/>
      <c r="D1030" s="102"/>
    </row>
    <row r="1031" spans="1:4" ht="13.8" x14ac:dyDescent="0.3">
      <c r="A1031" s="101"/>
      <c r="B1031" s="102"/>
      <c r="D1031" s="102"/>
    </row>
    <row r="1032" spans="1:4" ht="13.8" x14ac:dyDescent="0.3">
      <c r="A1032" s="101"/>
      <c r="B1032" s="102"/>
      <c r="D1032" s="102"/>
    </row>
    <row r="1033" spans="1:4" ht="13.8" x14ac:dyDescent="0.3">
      <c r="A1033" s="101"/>
      <c r="B1033" s="102"/>
      <c r="D1033" s="102"/>
    </row>
    <row r="1034" spans="1:4" ht="13.8" x14ac:dyDescent="0.3">
      <c r="A1034" s="101"/>
      <c r="B1034" s="102"/>
      <c r="D1034" s="102"/>
    </row>
    <row r="1035" spans="1:4" ht="13.8" x14ac:dyDescent="0.3">
      <c r="A1035" s="101"/>
      <c r="B1035" s="102"/>
      <c r="D1035" s="102"/>
    </row>
    <row r="1036" spans="1:4" ht="13.8" x14ac:dyDescent="0.3">
      <c r="A1036" s="101"/>
      <c r="B1036" s="102"/>
      <c r="D1036" s="102"/>
    </row>
    <row r="1037" spans="1:4" ht="13.8" x14ac:dyDescent="0.3">
      <c r="A1037" s="101"/>
      <c r="B1037" s="102"/>
      <c r="D1037" s="102"/>
    </row>
    <row r="1038" spans="1:4" ht="13.8" x14ac:dyDescent="0.3">
      <c r="A1038" s="101"/>
      <c r="B1038" s="102"/>
      <c r="D1038" s="102"/>
    </row>
    <row r="1039" spans="1:4" ht="13.8" x14ac:dyDescent="0.3">
      <c r="A1039" s="101"/>
      <c r="B1039" s="102"/>
      <c r="D1039" s="102"/>
    </row>
    <row r="1040" spans="1:4" ht="13.8" x14ac:dyDescent="0.3">
      <c r="A1040" s="101"/>
      <c r="B1040" s="102"/>
      <c r="D1040" s="102"/>
    </row>
    <row r="1041" spans="1:4" ht="13.8" x14ac:dyDescent="0.3">
      <c r="A1041" s="101"/>
      <c r="B1041" s="102"/>
      <c r="D1041" s="102"/>
    </row>
    <row r="1042" spans="1:4" ht="13.8" x14ac:dyDescent="0.3">
      <c r="A1042" s="101"/>
      <c r="B1042" s="102"/>
      <c r="D1042" s="102"/>
    </row>
    <row r="1043" spans="1:4" ht="13.8" x14ac:dyDescent="0.3">
      <c r="A1043" s="101"/>
      <c r="B1043" s="102"/>
      <c r="D1043" s="102"/>
    </row>
    <row r="1044" spans="1:4" ht="13.8" x14ac:dyDescent="0.3">
      <c r="A1044" s="101"/>
      <c r="B1044" s="102"/>
      <c r="D1044" s="102"/>
    </row>
    <row r="1045" spans="1:4" ht="13.8" x14ac:dyDescent="0.3">
      <c r="A1045" s="101"/>
      <c r="B1045" s="102"/>
      <c r="D1045" s="102"/>
    </row>
    <row r="1046" spans="1:4" ht="13.8" x14ac:dyDescent="0.3">
      <c r="A1046" s="101"/>
      <c r="B1046" s="102"/>
      <c r="D1046" s="102"/>
    </row>
    <row r="1047" spans="1:4" ht="13.8" x14ac:dyDescent="0.3">
      <c r="A1047" s="101"/>
      <c r="B1047" s="102"/>
      <c r="D1047" s="102"/>
    </row>
    <row r="1048" spans="1:4" ht="13.8" x14ac:dyDescent="0.3">
      <c r="A1048" s="101"/>
      <c r="B1048" s="102"/>
      <c r="D1048" s="102"/>
    </row>
    <row r="1049" spans="1:4" ht="13.8" x14ac:dyDescent="0.3">
      <c r="A1049" s="101"/>
      <c r="B1049" s="102"/>
      <c r="D1049" s="102"/>
    </row>
    <row r="1050" spans="1:4" ht="13.8" x14ac:dyDescent="0.3">
      <c r="A1050" s="101"/>
      <c r="B1050" s="102"/>
      <c r="D1050" s="102"/>
    </row>
    <row r="1051" spans="1:4" ht="13.8" x14ac:dyDescent="0.3">
      <c r="A1051" s="101"/>
      <c r="B1051" s="102"/>
      <c r="D1051" s="102"/>
    </row>
    <row r="1052" spans="1:4" ht="13.8" x14ac:dyDescent="0.3">
      <c r="A1052" s="101"/>
      <c r="B1052" s="102"/>
      <c r="D1052" s="102"/>
    </row>
    <row r="1053" spans="1:4" ht="13.8" x14ac:dyDescent="0.3">
      <c r="A1053" s="101"/>
      <c r="B1053" s="102"/>
      <c r="D1053" s="102"/>
    </row>
    <row r="1054" spans="1:4" ht="13.8" x14ac:dyDescent="0.3">
      <c r="A1054" s="101"/>
      <c r="B1054" s="102"/>
      <c r="D1054" s="102"/>
    </row>
    <row r="1055" spans="1:4" ht="13.8" x14ac:dyDescent="0.3">
      <c r="A1055" s="101"/>
      <c r="B1055" s="102"/>
      <c r="D1055" s="102"/>
    </row>
    <row r="1056" spans="1:4" ht="13.8" x14ac:dyDescent="0.3">
      <c r="A1056" s="101"/>
      <c r="B1056" s="102"/>
      <c r="D1056" s="102"/>
    </row>
    <row r="1057" spans="1:4" ht="13.8" x14ac:dyDescent="0.3">
      <c r="A1057" s="101"/>
      <c r="B1057" s="102"/>
      <c r="D1057" s="102"/>
    </row>
    <row r="1058" spans="1:4" ht="13.8" x14ac:dyDescent="0.3">
      <c r="A1058" s="101"/>
      <c r="B1058" s="102"/>
      <c r="D1058" s="102"/>
    </row>
    <row r="1059" spans="1:4" ht="13.8" x14ac:dyDescent="0.3">
      <c r="A1059" s="101"/>
      <c r="B1059" s="102"/>
      <c r="D1059" s="102"/>
    </row>
    <row r="1060" spans="1:4" ht="13.8" x14ac:dyDescent="0.3">
      <c r="A1060" s="101"/>
      <c r="B1060" s="102"/>
      <c r="D1060" s="102"/>
    </row>
    <row r="1061" spans="1:4" ht="13.8" x14ac:dyDescent="0.3">
      <c r="A1061" s="101"/>
      <c r="B1061" s="102"/>
      <c r="D1061" s="102"/>
    </row>
    <row r="1062" spans="1:4" ht="13.8" x14ac:dyDescent="0.3">
      <c r="A1062" s="101"/>
      <c r="B1062" s="102"/>
      <c r="D1062" s="102"/>
    </row>
    <row r="1063" spans="1:4" ht="13.8" x14ac:dyDescent="0.3">
      <c r="A1063" s="101"/>
      <c r="B1063" s="102"/>
      <c r="D1063" s="102"/>
    </row>
    <row r="1064" spans="1:4" ht="13.8" x14ac:dyDescent="0.3">
      <c r="A1064" s="101"/>
      <c r="B1064" s="102"/>
      <c r="D1064" s="102"/>
    </row>
    <row r="1065" spans="1:4" ht="13.8" x14ac:dyDescent="0.3">
      <c r="A1065" s="101"/>
      <c r="B1065" s="102"/>
      <c r="D1065" s="102"/>
    </row>
    <row r="1066" spans="1:4" ht="13.8" x14ac:dyDescent="0.3">
      <c r="A1066" s="101"/>
      <c r="B1066" s="102"/>
      <c r="D1066" s="102"/>
    </row>
    <row r="1067" spans="1:4" ht="13.8" x14ac:dyDescent="0.3">
      <c r="A1067" s="101"/>
      <c r="B1067" s="102"/>
      <c r="D1067" s="102"/>
    </row>
    <row r="1068" spans="1:4" ht="13.8" x14ac:dyDescent="0.3">
      <c r="A1068" s="101"/>
      <c r="B1068" s="102"/>
      <c r="D1068" s="102"/>
    </row>
    <row r="1069" spans="1:4" ht="13.8" x14ac:dyDescent="0.3">
      <c r="A1069" s="101"/>
      <c r="B1069" s="102"/>
      <c r="D1069" s="102"/>
    </row>
    <row r="1070" spans="1:4" ht="13.8" x14ac:dyDescent="0.3">
      <c r="A1070" s="101"/>
      <c r="B1070" s="102"/>
      <c r="D1070" s="102"/>
    </row>
    <row r="1071" spans="1:4" ht="13.8" x14ac:dyDescent="0.3">
      <c r="A1071" s="101"/>
      <c r="B1071" s="102"/>
      <c r="D1071" s="102"/>
    </row>
    <row r="1072" spans="1:4" ht="13.8" x14ac:dyDescent="0.3">
      <c r="A1072" s="101"/>
      <c r="B1072" s="102"/>
      <c r="D1072" s="102"/>
    </row>
    <row r="1073" spans="1:4" ht="13.8" x14ac:dyDescent="0.3">
      <c r="A1073" s="101"/>
      <c r="B1073" s="102"/>
      <c r="D1073" s="102"/>
    </row>
    <row r="1074" spans="1:4" ht="13.8" x14ac:dyDescent="0.3">
      <c r="A1074" s="101"/>
      <c r="B1074" s="102"/>
      <c r="D1074" s="102"/>
    </row>
    <row r="1075" spans="1:4" ht="13.8" x14ac:dyDescent="0.3">
      <c r="A1075" s="101"/>
      <c r="B1075" s="102"/>
      <c r="D1075" s="102"/>
    </row>
    <row r="1076" spans="1:4" ht="13.8" x14ac:dyDescent="0.3">
      <c r="A1076" s="101"/>
      <c r="B1076" s="102"/>
      <c r="D1076" s="102"/>
    </row>
    <row r="1077" spans="1:4" ht="13.8" x14ac:dyDescent="0.3">
      <c r="A1077" s="101"/>
      <c r="B1077" s="102"/>
      <c r="D1077" s="102"/>
    </row>
    <row r="1078" spans="1:4" ht="13.8" x14ac:dyDescent="0.3">
      <c r="A1078" s="101"/>
      <c r="B1078" s="102"/>
      <c r="D1078" s="102"/>
    </row>
    <row r="1079" spans="1:4" ht="13.8" x14ac:dyDescent="0.3">
      <c r="A1079" s="101"/>
      <c r="B1079" s="102"/>
      <c r="D1079" s="102"/>
    </row>
    <row r="1080" spans="1:4" ht="13.8" x14ac:dyDescent="0.3">
      <c r="A1080" s="101"/>
      <c r="B1080" s="102"/>
      <c r="D1080" s="102"/>
    </row>
    <row r="1081" spans="1:4" ht="13.8" x14ac:dyDescent="0.3">
      <c r="A1081" s="101"/>
      <c r="B1081" s="102"/>
      <c r="D1081" s="102"/>
    </row>
    <row r="1082" spans="1:4" ht="13.8" x14ac:dyDescent="0.3">
      <c r="A1082" s="101"/>
      <c r="B1082" s="102"/>
      <c r="D1082" s="102"/>
    </row>
    <row r="1083" spans="1:4" ht="13.8" x14ac:dyDescent="0.3">
      <c r="A1083" s="101"/>
      <c r="B1083" s="102"/>
      <c r="D1083" s="102"/>
    </row>
    <row r="1084" spans="1:4" ht="13.8" x14ac:dyDescent="0.3">
      <c r="A1084" s="101"/>
      <c r="B1084" s="102"/>
      <c r="D1084" s="102"/>
    </row>
    <row r="1085" spans="1:4" ht="13.8" x14ac:dyDescent="0.3">
      <c r="A1085" s="101"/>
      <c r="B1085" s="102"/>
      <c r="D1085" s="102"/>
    </row>
    <row r="1086" spans="1:4" ht="13.8" x14ac:dyDescent="0.3">
      <c r="A1086" s="101"/>
      <c r="B1086" s="102"/>
      <c r="D1086" s="102"/>
    </row>
    <row r="1087" spans="1:4" ht="13.8" x14ac:dyDescent="0.3">
      <c r="A1087" s="101"/>
      <c r="B1087" s="102"/>
      <c r="D1087" s="102"/>
    </row>
    <row r="1088" spans="1:4" ht="13.8" x14ac:dyDescent="0.3">
      <c r="A1088" s="101"/>
      <c r="B1088" s="102"/>
      <c r="D1088" s="102"/>
    </row>
    <row r="1089" spans="1:4" ht="13.8" x14ac:dyDescent="0.3">
      <c r="A1089" s="101"/>
      <c r="B1089" s="102"/>
      <c r="D1089" s="102"/>
    </row>
    <row r="1090" spans="1:4" ht="13.8" x14ac:dyDescent="0.3">
      <c r="A1090" s="101"/>
      <c r="B1090" s="102"/>
      <c r="D1090" s="102"/>
    </row>
    <row r="1091" spans="1:4" ht="13.8" x14ac:dyDescent="0.3">
      <c r="A1091" s="101"/>
      <c r="B1091" s="102"/>
      <c r="D1091" s="102"/>
    </row>
    <row r="1092" spans="1:4" ht="13.8" x14ac:dyDescent="0.3">
      <c r="A1092" s="101"/>
      <c r="B1092" s="102"/>
      <c r="D1092" s="102"/>
    </row>
    <row r="1093" spans="1:4" ht="13.8" x14ac:dyDescent="0.3">
      <c r="A1093" s="101"/>
      <c r="B1093" s="102"/>
      <c r="D1093" s="102"/>
    </row>
    <row r="1094" spans="1:4" ht="13.8" x14ac:dyDescent="0.3">
      <c r="A1094" s="101"/>
      <c r="B1094" s="102"/>
      <c r="D1094" s="102"/>
    </row>
    <row r="1095" spans="1:4" ht="13.8" x14ac:dyDescent="0.3">
      <c r="A1095" s="101"/>
      <c r="B1095" s="102"/>
      <c r="D1095" s="102"/>
    </row>
    <row r="1096" spans="1:4" ht="13.8" x14ac:dyDescent="0.3">
      <c r="A1096" s="101"/>
      <c r="B1096" s="102"/>
      <c r="D1096" s="102"/>
    </row>
    <row r="1097" spans="1:4" ht="13.8" x14ac:dyDescent="0.3">
      <c r="A1097" s="101"/>
      <c r="B1097" s="102"/>
      <c r="D1097" s="102"/>
    </row>
    <row r="1098" spans="1:4" ht="13.8" x14ac:dyDescent="0.3">
      <c r="A1098" s="101"/>
      <c r="B1098" s="102"/>
      <c r="D1098" s="102"/>
    </row>
    <row r="1099" spans="1:4" ht="13.8" x14ac:dyDescent="0.3">
      <c r="A1099" s="101"/>
      <c r="B1099" s="102"/>
      <c r="D1099" s="102"/>
    </row>
    <row r="1100" spans="1:4" ht="13.8" x14ac:dyDescent="0.3">
      <c r="A1100" s="101"/>
      <c r="B1100" s="102"/>
      <c r="D1100" s="102"/>
    </row>
    <row r="1101" spans="1:4" ht="13.8" x14ac:dyDescent="0.3">
      <c r="A1101" s="101"/>
      <c r="B1101" s="102"/>
      <c r="D1101" s="102"/>
    </row>
    <row r="1102" spans="1:4" ht="13.8" x14ac:dyDescent="0.3">
      <c r="A1102" s="101"/>
      <c r="B1102" s="102"/>
      <c r="D1102" s="102"/>
    </row>
    <row r="1103" spans="1:4" ht="13.8" x14ac:dyDescent="0.3">
      <c r="A1103" s="101"/>
      <c r="B1103" s="102"/>
      <c r="D1103" s="102"/>
    </row>
    <row r="1104" spans="1:4" ht="13.8" x14ac:dyDescent="0.3">
      <c r="A1104" s="101"/>
      <c r="B1104" s="102"/>
      <c r="D1104" s="102"/>
    </row>
    <row r="1105" spans="1:4" ht="13.8" x14ac:dyDescent="0.3">
      <c r="A1105" s="101"/>
      <c r="B1105" s="102"/>
      <c r="D1105" s="102"/>
    </row>
    <row r="1106" spans="1:4" ht="13.8" x14ac:dyDescent="0.3">
      <c r="A1106" s="101"/>
      <c r="B1106" s="102"/>
      <c r="D1106" s="102"/>
    </row>
    <row r="1107" spans="1:4" ht="13.8" x14ac:dyDescent="0.3">
      <c r="A1107" s="101"/>
      <c r="B1107" s="102"/>
      <c r="D1107" s="102"/>
    </row>
    <row r="1108" spans="1:4" ht="13.8" x14ac:dyDescent="0.3">
      <c r="A1108" s="101"/>
      <c r="B1108" s="102"/>
      <c r="D1108" s="102"/>
    </row>
    <row r="1109" spans="1:4" ht="13.8" x14ac:dyDescent="0.3">
      <c r="A1109" s="101"/>
      <c r="B1109" s="102"/>
      <c r="D1109" s="102"/>
    </row>
    <row r="1110" spans="1:4" ht="13.8" x14ac:dyDescent="0.3">
      <c r="A1110" s="101"/>
      <c r="B1110" s="102"/>
      <c r="D1110" s="102"/>
    </row>
    <row r="1111" spans="1:4" ht="13.8" x14ac:dyDescent="0.3">
      <c r="A1111" s="101"/>
      <c r="B1111" s="102"/>
      <c r="D1111" s="102"/>
    </row>
    <row r="1112" spans="1:4" ht="13.8" x14ac:dyDescent="0.3">
      <c r="A1112" s="101"/>
      <c r="B1112" s="102"/>
      <c r="D1112" s="102"/>
    </row>
    <row r="1113" spans="1:4" ht="13.8" x14ac:dyDescent="0.3">
      <c r="A1113" s="101"/>
      <c r="B1113" s="102"/>
      <c r="D1113" s="102"/>
    </row>
    <row r="1114" spans="1:4" ht="13.8" x14ac:dyDescent="0.3">
      <c r="A1114" s="101"/>
      <c r="B1114" s="102"/>
      <c r="D1114" s="102"/>
    </row>
    <row r="1115" spans="1:4" ht="13.8" x14ac:dyDescent="0.3">
      <c r="A1115" s="101"/>
      <c r="B1115" s="102"/>
      <c r="D1115" s="102"/>
    </row>
    <row r="1116" spans="1:4" ht="13.8" x14ac:dyDescent="0.3">
      <c r="A1116" s="101"/>
      <c r="B1116" s="102"/>
      <c r="D1116" s="102"/>
    </row>
    <row r="1117" spans="1:4" ht="13.8" x14ac:dyDescent="0.3">
      <c r="A1117" s="101"/>
      <c r="B1117" s="102"/>
      <c r="D1117" s="102"/>
    </row>
    <row r="1118" spans="1:4" ht="13.8" x14ac:dyDescent="0.3">
      <c r="A1118" s="101"/>
      <c r="B1118" s="102"/>
      <c r="D1118" s="102"/>
    </row>
    <row r="1119" spans="1:4" ht="13.8" x14ac:dyDescent="0.3">
      <c r="A1119" s="101"/>
      <c r="B1119" s="102"/>
      <c r="D1119" s="102"/>
    </row>
    <row r="1120" spans="1:4" ht="13.8" x14ac:dyDescent="0.3">
      <c r="A1120" s="101"/>
      <c r="B1120" s="102"/>
      <c r="D1120" s="102"/>
    </row>
    <row r="1121" spans="1:4" ht="13.8" x14ac:dyDescent="0.3">
      <c r="A1121" s="101"/>
      <c r="B1121" s="102"/>
      <c r="D1121" s="102"/>
    </row>
    <row r="1122" spans="1:4" ht="13.8" x14ac:dyDescent="0.3">
      <c r="A1122" s="101"/>
      <c r="B1122" s="102"/>
      <c r="D1122" s="102"/>
    </row>
    <row r="1123" spans="1:4" ht="13.8" x14ac:dyDescent="0.3">
      <c r="A1123" s="101"/>
      <c r="B1123" s="102"/>
      <c r="D1123" s="102"/>
    </row>
    <row r="1124" spans="1:4" ht="13.8" x14ac:dyDescent="0.3">
      <c r="A1124" s="101"/>
      <c r="B1124" s="102"/>
      <c r="D1124" s="102"/>
    </row>
    <row r="1125" spans="1:4" ht="13.8" x14ac:dyDescent="0.3">
      <c r="A1125" s="101"/>
      <c r="B1125" s="102"/>
      <c r="D1125" s="102"/>
    </row>
    <row r="1126" spans="1:4" ht="13.8" x14ac:dyDescent="0.3">
      <c r="A1126" s="101"/>
      <c r="B1126" s="102"/>
      <c r="D1126" s="102"/>
    </row>
    <row r="1127" spans="1:4" ht="13.8" x14ac:dyDescent="0.3">
      <c r="A1127" s="101"/>
      <c r="B1127" s="102"/>
      <c r="D1127" s="102"/>
    </row>
    <row r="1128" spans="1:4" ht="13.8" x14ac:dyDescent="0.3">
      <c r="A1128" s="101"/>
      <c r="B1128" s="102"/>
      <c r="D1128" s="102"/>
    </row>
    <row r="1129" spans="1:4" ht="13.8" x14ac:dyDescent="0.3">
      <c r="A1129" s="101"/>
      <c r="B1129" s="102"/>
      <c r="D1129" s="102"/>
    </row>
    <row r="1130" spans="1:4" ht="13.8" x14ac:dyDescent="0.3">
      <c r="A1130" s="101"/>
      <c r="B1130" s="102"/>
      <c r="D1130" s="102"/>
    </row>
    <row r="1131" spans="1:4" ht="13.8" x14ac:dyDescent="0.3">
      <c r="A1131" s="101"/>
      <c r="B1131" s="102"/>
      <c r="D1131" s="102"/>
    </row>
    <row r="1132" spans="1:4" ht="13.8" x14ac:dyDescent="0.3">
      <c r="A1132" s="101"/>
      <c r="B1132" s="102"/>
      <c r="D1132" s="102"/>
    </row>
    <row r="1133" spans="1:4" ht="13.8" x14ac:dyDescent="0.3">
      <c r="A1133" s="101"/>
      <c r="B1133" s="102"/>
      <c r="D1133" s="102"/>
    </row>
    <row r="1134" spans="1:4" ht="13.8" x14ac:dyDescent="0.3">
      <c r="A1134" s="101"/>
      <c r="B1134" s="102"/>
      <c r="D1134" s="102"/>
    </row>
    <row r="1135" spans="1:4" ht="13.8" x14ac:dyDescent="0.3">
      <c r="A1135" s="101"/>
      <c r="B1135" s="102"/>
      <c r="D1135" s="102"/>
    </row>
    <row r="1136" spans="1:4" ht="13.8" x14ac:dyDescent="0.3">
      <c r="A1136" s="101"/>
      <c r="B1136" s="102"/>
      <c r="D1136" s="102"/>
    </row>
    <row r="1137" spans="1:4" ht="13.8" x14ac:dyDescent="0.3">
      <c r="A1137" s="101"/>
      <c r="B1137" s="102"/>
      <c r="D1137" s="102"/>
    </row>
    <row r="1138" spans="1:4" ht="13.8" x14ac:dyDescent="0.3">
      <c r="A1138" s="101"/>
      <c r="B1138" s="102"/>
      <c r="D1138" s="102"/>
    </row>
    <row r="1139" spans="1:4" ht="13.8" x14ac:dyDescent="0.3">
      <c r="A1139" s="101"/>
      <c r="B1139" s="102"/>
      <c r="D1139" s="102"/>
    </row>
    <row r="1140" spans="1:4" ht="13.8" x14ac:dyDescent="0.3">
      <c r="A1140" s="101"/>
      <c r="B1140" s="102"/>
      <c r="D1140" s="102"/>
    </row>
    <row r="1141" spans="1:4" ht="13.8" x14ac:dyDescent="0.3">
      <c r="A1141" s="101"/>
      <c r="B1141" s="102"/>
      <c r="D1141" s="102"/>
    </row>
    <row r="1142" spans="1:4" ht="13.8" x14ac:dyDescent="0.3">
      <c r="A1142" s="101"/>
      <c r="B1142" s="102"/>
      <c r="D1142" s="102"/>
    </row>
    <row r="1143" spans="1:4" ht="13.8" x14ac:dyDescent="0.3">
      <c r="A1143" s="101"/>
      <c r="B1143" s="102"/>
      <c r="D1143" s="102"/>
    </row>
    <row r="1144" spans="1:4" ht="13.8" x14ac:dyDescent="0.3">
      <c r="A1144" s="101"/>
      <c r="B1144" s="102"/>
      <c r="D1144" s="102"/>
    </row>
    <row r="1145" spans="1:4" ht="13.8" x14ac:dyDescent="0.3">
      <c r="A1145" s="101"/>
      <c r="B1145" s="102"/>
      <c r="D1145" s="102"/>
    </row>
    <row r="1146" spans="1:4" ht="13.8" x14ac:dyDescent="0.3">
      <c r="A1146" s="101"/>
      <c r="B1146" s="102"/>
      <c r="D1146" s="102"/>
    </row>
    <row r="1147" spans="1:4" ht="13.8" x14ac:dyDescent="0.3">
      <c r="A1147" s="101"/>
      <c r="B1147" s="102"/>
      <c r="D1147" s="102"/>
    </row>
    <row r="1148" spans="1:4" ht="13.8" x14ac:dyDescent="0.3">
      <c r="A1148" s="101"/>
      <c r="B1148" s="102"/>
      <c r="D1148" s="102"/>
    </row>
    <row r="1149" spans="1:4" ht="13.8" x14ac:dyDescent="0.3">
      <c r="A1149" s="101"/>
      <c r="B1149" s="102"/>
      <c r="D1149" s="102"/>
    </row>
    <row r="1150" spans="1:4" ht="13.8" x14ac:dyDescent="0.3">
      <c r="A1150" s="101"/>
      <c r="B1150" s="102"/>
      <c r="D1150" s="102"/>
    </row>
    <row r="1151" spans="1:4" ht="13.8" x14ac:dyDescent="0.3">
      <c r="A1151" s="101"/>
      <c r="B1151" s="102"/>
      <c r="D1151" s="102"/>
    </row>
    <row r="1152" spans="1:4" ht="13.8" x14ac:dyDescent="0.3">
      <c r="A1152" s="101"/>
      <c r="B1152" s="102"/>
      <c r="D1152" s="102"/>
    </row>
    <row r="1153" spans="1:4" ht="13.8" x14ac:dyDescent="0.3">
      <c r="A1153" s="101"/>
      <c r="B1153" s="102"/>
      <c r="D1153" s="102"/>
    </row>
    <row r="1154" spans="1:4" ht="13.8" x14ac:dyDescent="0.3">
      <c r="A1154" s="101"/>
      <c r="B1154" s="102"/>
      <c r="D1154" s="102"/>
    </row>
    <row r="1155" spans="1:4" ht="13.8" x14ac:dyDescent="0.3">
      <c r="A1155" s="101"/>
      <c r="B1155" s="102"/>
      <c r="D1155" s="102"/>
    </row>
    <row r="1156" spans="1:4" ht="13.8" x14ac:dyDescent="0.3">
      <c r="A1156" s="101"/>
      <c r="B1156" s="102"/>
      <c r="D1156" s="102"/>
    </row>
    <row r="1157" spans="1:4" ht="13.8" x14ac:dyDescent="0.3">
      <c r="A1157" s="101"/>
      <c r="B1157" s="102"/>
      <c r="D1157" s="102"/>
    </row>
    <row r="1158" spans="1:4" ht="13.8" x14ac:dyDescent="0.3">
      <c r="A1158" s="101"/>
      <c r="B1158" s="102"/>
      <c r="D1158" s="102"/>
    </row>
    <row r="1159" spans="1:4" ht="13.8" x14ac:dyDescent="0.3">
      <c r="A1159" s="101"/>
      <c r="B1159" s="102"/>
      <c r="D1159" s="102"/>
    </row>
    <row r="1160" spans="1:4" ht="13.8" x14ac:dyDescent="0.3">
      <c r="A1160" s="101"/>
      <c r="B1160" s="102"/>
      <c r="D1160" s="102"/>
    </row>
    <row r="1161" spans="1:4" ht="13.8" x14ac:dyDescent="0.3">
      <c r="A1161" s="101"/>
      <c r="B1161" s="102"/>
      <c r="D1161" s="102"/>
    </row>
    <row r="1162" spans="1:4" ht="13.8" x14ac:dyDescent="0.3">
      <c r="A1162" s="101"/>
      <c r="B1162" s="102"/>
      <c r="D1162" s="102"/>
    </row>
    <row r="1163" spans="1:4" ht="13.8" x14ac:dyDescent="0.3">
      <c r="A1163" s="101"/>
      <c r="B1163" s="102"/>
      <c r="D1163" s="102"/>
    </row>
    <row r="1164" spans="1:4" ht="13.8" x14ac:dyDescent="0.3">
      <c r="A1164" s="101"/>
      <c r="B1164" s="102"/>
      <c r="D1164" s="102"/>
    </row>
    <row r="1165" spans="1:4" ht="13.8" x14ac:dyDescent="0.3">
      <c r="A1165" s="101"/>
      <c r="B1165" s="102"/>
      <c r="D1165" s="102"/>
    </row>
    <row r="1166" spans="1:4" ht="13.8" x14ac:dyDescent="0.3">
      <c r="A1166" s="101"/>
      <c r="B1166" s="102"/>
      <c r="D1166" s="102"/>
    </row>
    <row r="1167" spans="1:4" ht="13.8" x14ac:dyDescent="0.3">
      <c r="A1167" s="101"/>
      <c r="B1167" s="102"/>
      <c r="D1167" s="102"/>
    </row>
    <row r="1168" spans="1:4" ht="13.8" x14ac:dyDescent="0.3">
      <c r="A1168" s="101"/>
      <c r="B1168" s="102"/>
      <c r="D1168" s="102"/>
    </row>
    <row r="1169" spans="1:4" ht="13.8" x14ac:dyDescent="0.3">
      <c r="A1169" s="101"/>
      <c r="B1169" s="102"/>
      <c r="D1169" s="102"/>
    </row>
    <row r="1170" spans="1:4" ht="13.8" x14ac:dyDescent="0.3">
      <c r="A1170" s="101"/>
      <c r="B1170" s="102"/>
      <c r="D1170" s="102"/>
    </row>
    <row r="1171" spans="1:4" ht="13.8" x14ac:dyDescent="0.3">
      <c r="A1171" s="101"/>
      <c r="B1171" s="102"/>
      <c r="D1171" s="102"/>
    </row>
    <row r="1172" spans="1:4" ht="13.8" x14ac:dyDescent="0.3">
      <c r="A1172" s="101"/>
      <c r="B1172" s="102"/>
      <c r="D1172" s="102"/>
    </row>
    <row r="1173" spans="1:4" ht="13.8" x14ac:dyDescent="0.3">
      <c r="A1173" s="101"/>
      <c r="B1173" s="102"/>
      <c r="D1173" s="102"/>
    </row>
    <row r="1174" spans="1:4" ht="13.8" x14ac:dyDescent="0.3">
      <c r="A1174" s="101"/>
      <c r="B1174" s="102"/>
      <c r="D1174" s="102"/>
    </row>
    <row r="1175" spans="1:4" ht="13.8" x14ac:dyDescent="0.3">
      <c r="A1175" s="101"/>
      <c r="B1175" s="102"/>
      <c r="D1175" s="102"/>
    </row>
    <row r="1176" spans="1:4" ht="13.8" x14ac:dyDescent="0.3">
      <c r="A1176" s="101"/>
      <c r="B1176" s="102"/>
      <c r="D1176" s="102"/>
    </row>
    <row r="1177" spans="1:4" ht="13.8" x14ac:dyDescent="0.3">
      <c r="A1177" s="101"/>
      <c r="B1177" s="102"/>
      <c r="D1177" s="102"/>
    </row>
    <row r="1178" spans="1:4" ht="13.8" x14ac:dyDescent="0.3">
      <c r="A1178" s="101"/>
      <c r="B1178" s="102"/>
      <c r="D1178" s="102"/>
    </row>
    <row r="1179" spans="1:4" ht="13.8" x14ac:dyDescent="0.3">
      <c r="A1179" s="101"/>
      <c r="B1179" s="102"/>
      <c r="D1179" s="102"/>
    </row>
    <row r="1180" spans="1:4" ht="13.8" x14ac:dyDescent="0.3">
      <c r="A1180" s="101"/>
      <c r="B1180" s="102"/>
      <c r="D1180" s="102"/>
    </row>
    <row r="1181" spans="1:4" ht="13.8" x14ac:dyDescent="0.3">
      <c r="A1181" s="101"/>
      <c r="B1181" s="102"/>
      <c r="D1181" s="102"/>
    </row>
    <row r="1182" spans="1:4" ht="13.8" x14ac:dyDescent="0.3">
      <c r="A1182" s="101"/>
      <c r="B1182" s="102"/>
      <c r="D1182" s="102"/>
    </row>
    <row r="1183" spans="1:4" ht="13.8" x14ac:dyDescent="0.3">
      <c r="A1183" s="101"/>
      <c r="B1183" s="102"/>
      <c r="D1183" s="102"/>
    </row>
    <row r="1184" spans="1:4" ht="13.8" x14ac:dyDescent="0.3">
      <c r="A1184" s="101"/>
      <c r="B1184" s="102"/>
      <c r="D1184" s="102"/>
    </row>
    <row r="1185" spans="1:4" ht="13.8" x14ac:dyDescent="0.3">
      <c r="A1185" s="101"/>
      <c r="B1185" s="102"/>
      <c r="D1185" s="102"/>
    </row>
    <row r="1186" spans="1:4" ht="13.8" x14ac:dyDescent="0.3">
      <c r="A1186" s="101"/>
      <c r="B1186" s="102"/>
      <c r="D1186" s="102"/>
    </row>
    <row r="1187" spans="1:4" ht="13.8" x14ac:dyDescent="0.3">
      <c r="A1187" s="101"/>
      <c r="B1187" s="102"/>
      <c r="D1187" s="102"/>
    </row>
    <row r="1188" spans="1:4" ht="13.8" x14ac:dyDescent="0.3">
      <c r="A1188" s="101"/>
      <c r="B1188" s="102"/>
      <c r="D1188" s="102"/>
    </row>
    <row r="1189" spans="1:4" ht="13.8" x14ac:dyDescent="0.3">
      <c r="A1189" s="101"/>
      <c r="B1189" s="102"/>
      <c r="D1189" s="102"/>
    </row>
    <row r="1190" spans="1:4" ht="13.8" x14ac:dyDescent="0.3">
      <c r="A1190" s="101"/>
      <c r="B1190" s="102"/>
      <c r="D1190" s="102"/>
    </row>
    <row r="1191" spans="1:4" ht="13.8" x14ac:dyDescent="0.3">
      <c r="A1191" s="101"/>
      <c r="B1191" s="102"/>
      <c r="D1191" s="102"/>
    </row>
    <row r="1192" spans="1:4" ht="13.8" x14ac:dyDescent="0.3">
      <c r="A1192" s="101"/>
      <c r="B1192" s="102"/>
      <c r="D1192" s="102"/>
    </row>
    <row r="1193" spans="1:4" ht="13.8" x14ac:dyDescent="0.3">
      <c r="A1193" s="101"/>
      <c r="B1193" s="102"/>
      <c r="D1193" s="102"/>
    </row>
    <row r="1194" spans="1:4" ht="13.8" x14ac:dyDescent="0.3">
      <c r="A1194" s="101"/>
      <c r="B1194" s="102"/>
      <c r="D1194" s="102"/>
    </row>
    <row r="1195" spans="1:4" ht="13.8" x14ac:dyDescent="0.3">
      <c r="A1195" s="101"/>
      <c r="B1195" s="102"/>
      <c r="D1195" s="102"/>
    </row>
    <row r="1196" spans="1:4" ht="13.8" x14ac:dyDescent="0.3">
      <c r="A1196" s="101"/>
      <c r="B1196" s="102"/>
      <c r="D1196" s="102"/>
    </row>
    <row r="1197" spans="1:4" ht="13.8" x14ac:dyDescent="0.3">
      <c r="A1197" s="101"/>
      <c r="B1197" s="102"/>
      <c r="D1197" s="102"/>
    </row>
    <row r="1198" spans="1:4" ht="13.8" x14ac:dyDescent="0.3">
      <c r="A1198" s="101"/>
      <c r="B1198" s="102"/>
      <c r="D1198" s="102"/>
    </row>
    <row r="1199" spans="1:4" ht="13.8" x14ac:dyDescent="0.3">
      <c r="A1199" s="101"/>
      <c r="B1199" s="102"/>
      <c r="D1199" s="102"/>
    </row>
    <row r="1200" spans="1:4" ht="13.8" x14ac:dyDescent="0.3">
      <c r="A1200" s="101"/>
      <c r="B1200" s="102"/>
      <c r="D1200" s="102"/>
    </row>
    <row r="1201" spans="1:4" ht="13.8" x14ac:dyDescent="0.3">
      <c r="A1201" s="101"/>
      <c r="B1201" s="102"/>
      <c r="D1201" s="102"/>
    </row>
    <row r="1202" spans="1:4" ht="13.8" x14ac:dyDescent="0.3">
      <c r="A1202" s="101"/>
      <c r="B1202" s="102"/>
      <c r="D1202" s="102"/>
    </row>
    <row r="1203" spans="1:4" ht="13.8" x14ac:dyDescent="0.3">
      <c r="A1203" s="101"/>
      <c r="B1203" s="102"/>
      <c r="D1203" s="102"/>
    </row>
    <row r="1204" spans="1:4" ht="13.8" x14ac:dyDescent="0.3">
      <c r="A1204" s="101"/>
      <c r="B1204" s="102"/>
      <c r="D1204" s="102"/>
    </row>
    <row r="1205" spans="1:4" ht="13.8" x14ac:dyDescent="0.3">
      <c r="A1205" s="101"/>
      <c r="B1205" s="102"/>
      <c r="D1205" s="102"/>
    </row>
    <row r="1206" spans="1:4" ht="13.8" x14ac:dyDescent="0.3">
      <c r="A1206" s="101"/>
      <c r="B1206" s="102"/>
      <c r="D1206" s="102"/>
    </row>
    <row r="1207" spans="1:4" ht="13.8" x14ac:dyDescent="0.3">
      <c r="A1207" s="101"/>
      <c r="B1207" s="102"/>
      <c r="D1207" s="102"/>
    </row>
    <row r="1208" spans="1:4" ht="13.8" x14ac:dyDescent="0.3">
      <c r="A1208" s="101"/>
      <c r="B1208" s="102"/>
      <c r="D1208" s="102"/>
    </row>
    <row r="1209" spans="1:4" ht="13.8" x14ac:dyDescent="0.3">
      <c r="A1209" s="101"/>
      <c r="B1209" s="102"/>
      <c r="D1209" s="102"/>
    </row>
    <row r="1210" spans="1:4" ht="13.8" x14ac:dyDescent="0.3">
      <c r="A1210" s="101"/>
      <c r="B1210" s="102"/>
      <c r="D1210" s="102"/>
    </row>
    <row r="1211" spans="1:4" ht="13.8" x14ac:dyDescent="0.3">
      <c r="A1211" s="101"/>
      <c r="B1211" s="102"/>
      <c r="D1211" s="102"/>
    </row>
    <row r="1212" spans="1:4" ht="13.8" x14ac:dyDescent="0.3">
      <c r="A1212" s="101"/>
      <c r="B1212" s="102"/>
      <c r="D1212" s="102"/>
    </row>
    <row r="1213" spans="1:4" ht="13.8" x14ac:dyDescent="0.3">
      <c r="A1213" s="101"/>
      <c r="B1213" s="102"/>
      <c r="D1213" s="102"/>
    </row>
    <row r="1214" spans="1:4" ht="13.8" x14ac:dyDescent="0.3">
      <c r="A1214" s="101"/>
      <c r="B1214" s="102"/>
      <c r="D1214" s="102"/>
    </row>
    <row r="1215" spans="1:4" ht="13.8" x14ac:dyDescent="0.3">
      <c r="A1215" s="101"/>
      <c r="B1215" s="102"/>
      <c r="D1215" s="102"/>
    </row>
    <row r="1216" spans="1:4" ht="13.8" x14ac:dyDescent="0.3">
      <c r="A1216" s="101"/>
      <c r="B1216" s="102"/>
      <c r="D1216" s="102"/>
    </row>
    <row r="1217" spans="1:4" ht="13.8" x14ac:dyDescent="0.3">
      <c r="A1217" s="101"/>
      <c r="B1217" s="102"/>
      <c r="D1217" s="102"/>
    </row>
    <row r="1218" spans="1:4" ht="13.8" x14ac:dyDescent="0.3">
      <c r="A1218" s="101"/>
      <c r="B1218" s="102"/>
      <c r="D1218" s="102"/>
    </row>
    <row r="1219" spans="1:4" ht="13.8" x14ac:dyDescent="0.3">
      <c r="A1219" s="101"/>
      <c r="B1219" s="102"/>
      <c r="D1219" s="102"/>
    </row>
    <row r="1220" spans="1:4" ht="13.8" x14ac:dyDescent="0.3">
      <c r="A1220" s="101"/>
      <c r="B1220" s="102"/>
      <c r="D1220" s="102"/>
    </row>
    <row r="1221" spans="1:4" ht="13.8" x14ac:dyDescent="0.3">
      <c r="A1221" s="101"/>
      <c r="B1221" s="102"/>
      <c r="D1221" s="102"/>
    </row>
    <row r="1222" spans="1:4" ht="13.8" x14ac:dyDescent="0.3">
      <c r="A1222" s="101"/>
      <c r="B1222" s="102"/>
      <c r="D1222" s="102"/>
    </row>
    <row r="1223" spans="1:4" ht="13.8" x14ac:dyDescent="0.3">
      <c r="A1223" s="101"/>
      <c r="B1223" s="102"/>
      <c r="D1223" s="102"/>
    </row>
    <row r="1224" spans="1:4" ht="13.8" x14ac:dyDescent="0.3">
      <c r="A1224" s="101"/>
      <c r="B1224" s="102"/>
      <c r="D1224" s="102"/>
    </row>
    <row r="1225" spans="1:4" ht="13.8" x14ac:dyDescent="0.3">
      <c r="A1225" s="101"/>
      <c r="B1225" s="102"/>
      <c r="D1225" s="102"/>
    </row>
    <row r="1226" spans="1:4" ht="13.8" x14ac:dyDescent="0.3">
      <c r="A1226" s="101"/>
      <c r="B1226" s="102"/>
      <c r="D1226" s="102"/>
    </row>
    <row r="1227" spans="1:4" ht="13.8" x14ac:dyDescent="0.3">
      <c r="A1227" s="101"/>
      <c r="B1227" s="102"/>
      <c r="D1227" s="102"/>
    </row>
    <row r="1228" spans="1:4" ht="13.8" x14ac:dyDescent="0.3">
      <c r="A1228" s="101"/>
      <c r="B1228" s="102"/>
      <c r="D1228" s="102"/>
    </row>
    <row r="1229" spans="1:4" ht="13.8" x14ac:dyDescent="0.3">
      <c r="A1229" s="101"/>
      <c r="B1229" s="102"/>
      <c r="D1229" s="102"/>
    </row>
    <row r="1230" spans="1:4" ht="13.8" x14ac:dyDescent="0.3">
      <c r="A1230" s="101"/>
      <c r="B1230" s="102"/>
      <c r="D1230" s="102"/>
    </row>
    <row r="1231" spans="1:4" ht="13.8" x14ac:dyDescent="0.3">
      <c r="A1231" s="101"/>
      <c r="B1231" s="102"/>
      <c r="D1231" s="102"/>
    </row>
    <row r="1232" spans="1:4" ht="13.8" x14ac:dyDescent="0.3">
      <c r="A1232" s="101"/>
      <c r="B1232" s="102"/>
      <c r="D1232" s="102"/>
    </row>
    <row r="1233" spans="1:4" ht="13.8" x14ac:dyDescent="0.3">
      <c r="A1233" s="101"/>
      <c r="B1233" s="102"/>
      <c r="D1233" s="102"/>
    </row>
    <row r="1234" spans="1:4" ht="13.8" x14ac:dyDescent="0.3">
      <c r="A1234" s="101"/>
      <c r="B1234" s="102"/>
      <c r="D1234" s="102"/>
    </row>
    <row r="1235" spans="1:4" ht="13.8" x14ac:dyDescent="0.3">
      <c r="A1235" s="101"/>
      <c r="B1235" s="102"/>
      <c r="D1235" s="102"/>
    </row>
    <row r="1236" spans="1:4" ht="13.8" x14ac:dyDescent="0.3">
      <c r="A1236" s="101"/>
      <c r="B1236" s="102"/>
      <c r="D1236" s="102"/>
    </row>
    <row r="1237" spans="1:4" ht="13.8" x14ac:dyDescent="0.3">
      <c r="A1237" s="101"/>
      <c r="B1237" s="102"/>
      <c r="D1237" s="102"/>
    </row>
    <row r="1238" spans="1:4" ht="13.8" x14ac:dyDescent="0.3">
      <c r="A1238" s="101"/>
      <c r="B1238" s="102"/>
      <c r="D1238" s="102"/>
    </row>
    <row r="1239" spans="1:4" ht="13.8" x14ac:dyDescent="0.3">
      <c r="A1239" s="101"/>
      <c r="B1239" s="102"/>
      <c r="D1239" s="102"/>
    </row>
    <row r="1240" spans="1:4" ht="13.8" x14ac:dyDescent="0.3">
      <c r="A1240" s="101"/>
      <c r="B1240" s="102"/>
      <c r="D1240" s="102"/>
    </row>
    <row r="1241" spans="1:4" ht="13.8" x14ac:dyDescent="0.3">
      <c r="A1241" s="101"/>
      <c r="B1241" s="102"/>
      <c r="D1241" s="102"/>
    </row>
    <row r="1242" spans="1:4" ht="13.8" x14ac:dyDescent="0.3">
      <c r="A1242" s="101"/>
      <c r="B1242" s="102"/>
      <c r="D1242" s="102"/>
    </row>
    <row r="1243" spans="1:4" ht="13.8" x14ac:dyDescent="0.3">
      <c r="A1243" s="101"/>
      <c r="B1243" s="102"/>
      <c r="D1243" s="102"/>
    </row>
    <row r="1244" spans="1:4" ht="13.8" x14ac:dyDescent="0.3">
      <c r="A1244" s="101"/>
      <c r="B1244" s="102"/>
      <c r="D1244" s="102"/>
    </row>
    <row r="1245" spans="1:4" ht="13.8" x14ac:dyDescent="0.3">
      <c r="A1245" s="101"/>
      <c r="B1245" s="102"/>
      <c r="D1245" s="102"/>
    </row>
    <row r="1246" spans="1:4" ht="13.8" x14ac:dyDescent="0.3">
      <c r="A1246" s="101"/>
      <c r="B1246" s="102"/>
      <c r="D1246" s="102"/>
    </row>
    <row r="1247" spans="1:4" ht="13.8" x14ac:dyDescent="0.3">
      <c r="A1247" s="101"/>
      <c r="B1247" s="102"/>
      <c r="D1247" s="102"/>
    </row>
    <row r="1248" spans="1:4" ht="13.8" x14ac:dyDescent="0.3">
      <c r="A1248" s="101"/>
      <c r="B1248" s="102"/>
    </row>
    <row r="1249" spans="1:2" ht="13.8" x14ac:dyDescent="0.3">
      <c r="A1249" s="101"/>
      <c r="B1249" s="102"/>
    </row>
    <row r="1250" spans="1:2" ht="13.8" x14ac:dyDescent="0.3">
      <c r="A1250" s="101"/>
      <c r="B1250" s="102"/>
    </row>
    <row r="1251" spans="1:2" ht="13.8" x14ac:dyDescent="0.3">
      <c r="A1251" s="101"/>
      <c r="B1251" s="102"/>
    </row>
    <row r="1252" spans="1:2" ht="13.8" x14ac:dyDescent="0.3">
      <c r="A1252" s="101"/>
      <c r="B1252" s="102"/>
    </row>
    <row r="1253" spans="1:2" ht="13.8" x14ac:dyDescent="0.3">
      <c r="A1253" s="101"/>
      <c r="B1253" s="102"/>
    </row>
    <row r="1254" spans="1:2" ht="13.8" x14ac:dyDescent="0.3">
      <c r="A1254" s="101"/>
      <c r="B1254" s="102"/>
    </row>
    <row r="1255" spans="1:2" ht="13.8" x14ac:dyDescent="0.3">
      <c r="A1255" s="101"/>
      <c r="B1255" s="102"/>
    </row>
    <row r="1256" spans="1:2" ht="13.8" x14ac:dyDescent="0.3">
      <c r="A1256" s="101"/>
      <c r="B1256" s="102"/>
    </row>
    <row r="1257" spans="1:2" ht="13.8" x14ac:dyDescent="0.3">
      <c r="A1257" s="101"/>
      <c r="B1257" s="102"/>
    </row>
    <row r="1258" spans="1:2" ht="13.8" x14ac:dyDescent="0.3">
      <c r="A1258" s="101"/>
      <c r="B1258" s="102"/>
    </row>
    <row r="1259" spans="1:2" ht="13.8" x14ac:dyDescent="0.3">
      <c r="A1259" s="101"/>
      <c r="B1259" s="102"/>
    </row>
    <row r="1260" spans="1:2" ht="13.8" x14ac:dyDescent="0.3">
      <c r="A1260" s="101"/>
      <c r="B1260" s="102"/>
    </row>
    <row r="1261" spans="1:2" ht="13.8" x14ac:dyDescent="0.3">
      <c r="A1261" s="101"/>
      <c r="B1261" s="102"/>
    </row>
    <row r="1262" spans="1:2" ht="13.8" x14ac:dyDescent="0.3">
      <c r="A1262" s="101"/>
      <c r="B1262" s="102"/>
    </row>
    <row r="1263" spans="1:2" ht="13.8" x14ac:dyDescent="0.3">
      <c r="A1263" s="101"/>
      <c r="B1263" s="102"/>
    </row>
    <row r="1264" spans="1:2" ht="13.8" x14ac:dyDescent="0.3">
      <c r="A1264" s="101"/>
      <c r="B1264" s="102"/>
    </row>
    <row r="1265" spans="1:2" ht="13.8" x14ac:dyDescent="0.3">
      <c r="A1265" s="101"/>
      <c r="B1265" s="102"/>
    </row>
    <row r="1266" spans="1:2" ht="13.8" x14ac:dyDescent="0.3">
      <c r="A1266" s="101"/>
      <c r="B1266" s="102"/>
    </row>
    <row r="1267" spans="1:2" ht="13.8" x14ac:dyDescent="0.3">
      <c r="A1267" s="101"/>
      <c r="B1267" s="102"/>
    </row>
    <row r="1268" spans="1:2" ht="13.8" x14ac:dyDescent="0.3">
      <c r="A1268" s="101"/>
      <c r="B1268" s="102"/>
    </row>
    <row r="1269" spans="1:2" ht="13.8" x14ac:dyDescent="0.3">
      <c r="A1269" s="101"/>
      <c r="B1269" s="102"/>
    </row>
    <row r="1270" spans="1:2" ht="13.8" x14ac:dyDescent="0.3">
      <c r="A1270" s="101"/>
      <c r="B1270" s="102"/>
    </row>
    <row r="1271" spans="1:2" ht="13.8" x14ac:dyDescent="0.3">
      <c r="A1271" s="101"/>
      <c r="B1271" s="102"/>
    </row>
    <row r="1272" spans="1:2" ht="13.8" x14ac:dyDescent="0.3">
      <c r="A1272" s="101"/>
      <c r="B1272" s="102"/>
    </row>
    <row r="1273" spans="1:2" ht="13.8" x14ac:dyDescent="0.3">
      <c r="A1273" s="101"/>
      <c r="B1273" s="102"/>
    </row>
    <row r="1274" spans="1:2" ht="13.8" x14ac:dyDescent="0.3">
      <c r="A1274" s="101"/>
      <c r="B1274" s="102"/>
    </row>
    <row r="1275" spans="1:2" ht="13.8" x14ac:dyDescent="0.3">
      <c r="A1275" s="101"/>
      <c r="B1275" s="102"/>
    </row>
    <row r="1276" spans="1:2" ht="13.8" x14ac:dyDescent="0.3">
      <c r="A1276" s="101"/>
      <c r="B1276" s="102"/>
    </row>
    <row r="1277" spans="1:2" ht="13.8" x14ac:dyDescent="0.3">
      <c r="A1277" s="101"/>
      <c r="B1277" s="102"/>
    </row>
    <row r="1278" spans="1:2" ht="13.8" x14ac:dyDescent="0.3">
      <c r="A1278" s="101"/>
      <c r="B1278" s="102"/>
    </row>
    <row r="1279" spans="1:2" ht="13.8" x14ac:dyDescent="0.3">
      <c r="A1279" s="101"/>
      <c r="B1279" s="102"/>
    </row>
    <row r="1280" spans="1:2" ht="13.8" x14ac:dyDescent="0.3">
      <c r="A1280" s="101"/>
      <c r="B1280" s="102"/>
    </row>
    <row r="1281" spans="1:2" ht="13.8" x14ac:dyDescent="0.3">
      <c r="A1281" s="101"/>
      <c r="B1281" s="102"/>
    </row>
    <row r="1282" spans="1:2" ht="13.8" x14ac:dyDescent="0.3">
      <c r="A1282" s="101"/>
      <c r="B1282" s="102"/>
    </row>
    <row r="1283" spans="1:2" ht="13.8" x14ac:dyDescent="0.3">
      <c r="A1283" s="101"/>
      <c r="B1283" s="102"/>
    </row>
    <row r="1284" spans="1:2" ht="13.8" x14ac:dyDescent="0.3">
      <c r="A1284" s="101"/>
      <c r="B1284" s="102"/>
    </row>
    <row r="1285" spans="1:2" ht="13.8" x14ac:dyDescent="0.3">
      <c r="A1285" s="101"/>
      <c r="B1285" s="102"/>
    </row>
    <row r="1286" spans="1:2" ht="13.8" x14ac:dyDescent="0.3">
      <c r="A1286" s="101"/>
      <c r="B1286" s="102"/>
    </row>
    <row r="1287" spans="1:2" ht="13.8" x14ac:dyDescent="0.3">
      <c r="A1287" s="101"/>
      <c r="B1287" s="102"/>
    </row>
    <row r="1288" spans="1:2" ht="13.8" x14ac:dyDescent="0.3">
      <c r="A1288" s="101"/>
      <c r="B1288" s="102"/>
    </row>
    <row r="1289" spans="1:2" ht="13.8" x14ac:dyDescent="0.3">
      <c r="A1289" s="101"/>
      <c r="B1289" s="102"/>
    </row>
    <row r="1290" spans="1:2" ht="13.8" x14ac:dyDescent="0.3">
      <c r="A1290" s="101"/>
      <c r="B1290" s="102"/>
    </row>
    <row r="1291" spans="1:2" ht="13.8" x14ac:dyDescent="0.3">
      <c r="A1291" s="101"/>
      <c r="B1291" s="102"/>
    </row>
    <row r="1292" spans="1:2" ht="13.8" x14ac:dyDescent="0.3">
      <c r="A1292" s="101"/>
      <c r="B1292" s="102"/>
    </row>
    <row r="1293" spans="1:2" ht="13.8" x14ac:dyDescent="0.3">
      <c r="A1293" s="101"/>
      <c r="B1293" s="102"/>
    </row>
    <row r="1294" spans="1:2" ht="13.8" x14ac:dyDescent="0.3">
      <c r="A1294" s="101"/>
      <c r="B1294" s="102"/>
    </row>
    <row r="1295" spans="1:2" ht="13.8" x14ac:dyDescent="0.3">
      <c r="A1295" s="101"/>
      <c r="B1295" s="102"/>
    </row>
    <row r="1296" spans="1:2" ht="13.8" x14ac:dyDescent="0.3">
      <c r="A1296" s="101"/>
      <c r="B1296" s="102"/>
    </row>
    <row r="1297" spans="1:2" ht="13.8" x14ac:dyDescent="0.3">
      <c r="A1297" s="101"/>
      <c r="B1297" s="102"/>
    </row>
    <row r="1298" spans="1:2" ht="13.8" x14ac:dyDescent="0.3">
      <c r="A1298" s="101"/>
      <c r="B1298" s="102"/>
    </row>
    <row r="1299" spans="1:2" ht="13.8" x14ac:dyDescent="0.3">
      <c r="A1299" s="101"/>
      <c r="B1299" s="102"/>
    </row>
    <row r="1300" spans="1:2" ht="13.8" x14ac:dyDescent="0.3">
      <c r="A1300" s="101"/>
      <c r="B1300" s="102"/>
    </row>
    <row r="1301" spans="1:2" ht="13.8" x14ac:dyDescent="0.3">
      <c r="A1301" s="101"/>
      <c r="B1301" s="102"/>
    </row>
    <row r="1302" spans="1:2" ht="13.8" x14ac:dyDescent="0.3">
      <c r="A1302" s="101"/>
      <c r="B1302" s="102"/>
    </row>
    <row r="1303" spans="1:2" ht="13.8" x14ac:dyDescent="0.3">
      <c r="A1303" s="101"/>
      <c r="B1303" s="102"/>
    </row>
    <row r="1304" spans="1:2" ht="13.8" x14ac:dyDescent="0.3">
      <c r="A1304" s="101"/>
      <c r="B1304" s="102"/>
    </row>
    <row r="1305" spans="1:2" ht="13.8" x14ac:dyDescent="0.3">
      <c r="A1305" s="101"/>
      <c r="B1305" s="102"/>
    </row>
    <row r="1306" spans="1:2" ht="13.8" x14ac:dyDescent="0.3">
      <c r="A1306" s="101"/>
      <c r="B1306" s="102"/>
    </row>
    <row r="1307" spans="1:2" ht="13.8" x14ac:dyDescent="0.3">
      <c r="A1307" s="101"/>
      <c r="B1307" s="102"/>
    </row>
    <row r="1308" spans="1:2" ht="13.8" x14ac:dyDescent="0.3">
      <c r="A1308" s="101"/>
      <c r="B1308" s="102"/>
    </row>
    <row r="1309" spans="1:2" ht="13.8" x14ac:dyDescent="0.3">
      <c r="A1309" s="101"/>
      <c r="B1309" s="102"/>
    </row>
    <row r="1310" spans="1:2" ht="13.8" x14ac:dyDescent="0.3">
      <c r="A1310" s="101"/>
      <c r="B1310" s="102"/>
    </row>
    <row r="1311" spans="1:2" ht="13.8" x14ac:dyDescent="0.3">
      <c r="A1311" s="101"/>
      <c r="B1311" s="102"/>
    </row>
    <row r="1312" spans="1:2" ht="13.8" x14ac:dyDescent="0.3">
      <c r="A1312" s="101"/>
      <c r="B1312" s="102"/>
    </row>
    <row r="1313" spans="1:2" ht="13.8" x14ac:dyDescent="0.3">
      <c r="A1313" s="101"/>
      <c r="B1313" s="102"/>
    </row>
    <row r="1314" spans="1:2" ht="13.8" x14ac:dyDescent="0.3">
      <c r="A1314" s="101"/>
      <c r="B1314" s="102"/>
    </row>
    <row r="1315" spans="1:2" ht="13.8" x14ac:dyDescent="0.3">
      <c r="A1315" s="101"/>
      <c r="B1315" s="102"/>
    </row>
    <row r="1316" spans="1:2" ht="13.8" x14ac:dyDescent="0.3">
      <c r="A1316" s="101"/>
      <c r="B1316" s="102"/>
    </row>
    <row r="1317" spans="1:2" ht="13.8" x14ac:dyDescent="0.3">
      <c r="A1317" s="101"/>
      <c r="B1317" s="102"/>
    </row>
    <row r="1318" spans="1:2" ht="13.8" x14ac:dyDescent="0.3">
      <c r="A1318" s="101"/>
      <c r="B1318" s="102"/>
    </row>
    <row r="1319" spans="1:2" ht="13.8" x14ac:dyDescent="0.3">
      <c r="A1319" s="101"/>
      <c r="B1319" s="102"/>
    </row>
    <row r="1320" spans="1:2" ht="13.8" x14ac:dyDescent="0.3">
      <c r="A1320" s="101"/>
      <c r="B1320" s="102"/>
    </row>
    <row r="1321" spans="1:2" ht="13.8" x14ac:dyDescent="0.3">
      <c r="A1321" s="101"/>
      <c r="B1321" s="102"/>
    </row>
    <row r="1322" spans="1:2" ht="13.8" x14ac:dyDescent="0.3">
      <c r="A1322" s="101"/>
      <c r="B1322" s="102"/>
    </row>
    <row r="1323" spans="1:2" ht="13.8" x14ac:dyDescent="0.3">
      <c r="A1323" s="101"/>
      <c r="B1323" s="102"/>
    </row>
    <row r="1324" spans="1:2" ht="13.8" x14ac:dyDescent="0.3">
      <c r="A1324" s="101"/>
      <c r="B1324" s="102"/>
    </row>
    <row r="1325" spans="1:2" ht="13.8" x14ac:dyDescent="0.3">
      <c r="A1325" s="101"/>
      <c r="B1325" s="102"/>
    </row>
    <row r="1326" spans="1:2" ht="13.8" x14ac:dyDescent="0.3">
      <c r="A1326" s="101"/>
      <c r="B1326" s="102"/>
    </row>
    <row r="1327" spans="1:2" ht="13.8" x14ac:dyDescent="0.3">
      <c r="A1327" s="101"/>
      <c r="B1327" s="102"/>
    </row>
    <row r="1328" spans="1:2" ht="13.8" x14ac:dyDescent="0.3">
      <c r="A1328" s="101"/>
      <c r="B1328" s="102"/>
    </row>
    <row r="1329" spans="1:2" ht="13.8" x14ac:dyDescent="0.3">
      <c r="A1329" s="101"/>
      <c r="B1329" s="102"/>
    </row>
    <row r="1330" spans="1:2" ht="13.8" x14ac:dyDescent="0.3">
      <c r="A1330" s="101"/>
      <c r="B1330" s="102"/>
    </row>
    <row r="1331" spans="1:2" ht="13.8" x14ac:dyDescent="0.3">
      <c r="A1331" s="101"/>
      <c r="B1331" s="102"/>
    </row>
    <row r="1332" spans="1:2" ht="13.8" x14ac:dyDescent="0.3">
      <c r="A1332" s="101"/>
      <c r="B1332" s="102"/>
    </row>
    <row r="1333" spans="1:2" ht="13.8" x14ac:dyDescent="0.3">
      <c r="A1333" s="101"/>
      <c r="B1333" s="102"/>
    </row>
    <row r="1334" spans="1:2" ht="13.8" x14ac:dyDescent="0.3">
      <c r="A1334" s="101"/>
      <c r="B1334" s="102"/>
    </row>
    <row r="1335" spans="1:2" ht="13.8" x14ac:dyDescent="0.3">
      <c r="A1335" s="101"/>
      <c r="B1335" s="102"/>
    </row>
    <row r="1336" spans="1:2" ht="13.8" x14ac:dyDescent="0.3">
      <c r="A1336" s="101"/>
      <c r="B1336" s="102"/>
    </row>
    <row r="1337" spans="1:2" ht="13.8" x14ac:dyDescent="0.3">
      <c r="A1337" s="101"/>
      <c r="B1337" s="102"/>
    </row>
    <row r="1338" spans="1:2" ht="13.8" x14ac:dyDescent="0.3">
      <c r="A1338" s="101"/>
      <c r="B1338" s="102"/>
    </row>
    <row r="1339" spans="1:2" ht="13.8" x14ac:dyDescent="0.3">
      <c r="A1339" s="101"/>
      <c r="B1339" s="102"/>
    </row>
    <row r="1340" spans="1:2" ht="13.8" x14ac:dyDescent="0.3">
      <c r="A1340" s="101"/>
      <c r="B1340" s="102"/>
    </row>
    <row r="1341" spans="1:2" ht="13.8" x14ac:dyDescent="0.3">
      <c r="A1341" s="101"/>
      <c r="B1341" s="102"/>
    </row>
    <row r="1342" spans="1:2" ht="13.8" x14ac:dyDescent="0.3">
      <c r="A1342" s="101"/>
      <c r="B1342" s="102"/>
    </row>
    <row r="1343" spans="1:2" ht="13.8" x14ac:dyDescent="0.3">
      <c r="A1343" s="101"/>
      <c r="B1343" s="102"/>
    </row>
    <row r="1344" spans="1:2" ht="13.8" x14ac:dyDescent="0.3">
      <c r="A1344" s="101"/>
      <c r="B1344" s="102"/>
    </row>
    <row r="1345" spans="1:2" ht="13.8" x14ac:dyDescent="0.3">
      <c r="A1345" s="101"/>
      <c r="B1345" s="102"/>
    </row>
    <row r="1346" spans="1:2" ht="13.8" x14ac:dyDescent="0.3">
      <c r="A1346" s="101"/>
      <c r="B1346" s="102"/>
    </row>
    <row r="1347" spans="1:2" ht="13.8" x14ac:dyDescent="0.3">
      <c r="A1347" s="101"/>
      <c r="B1347" s="102"/>
    </row>
    <row r="1348" spans="1:2" ht="13.8" x14ac:dyDescent="0.3">
      <c r="A1348" s="101"/>
      <c r="B1348" s="102"/>
    </row>
    <row r="1349" spans="1:2" ht="13.8" x14ac:dyDescent="0.3">
      <c r="A1349" s="101"/>
      <c r="B1349" s="102"/>
    </row>
    <row r="1350" spans="1:2" ht="13.8" x14ac:dyDescent="0.3">
      <c r="A1350" s="101"/>
      <c r="B1350" s="102"/>
    </row>
    <row r="1351" spans="1:2" ht="13.8" x14ac:dyDescent="0.3">
      <c r="A1351" s="101"/>
      <c r="B1351" s="102"/>
    </row>
    <row r="1352" spans="1:2" ht="13.8" x14ac:dyDescent="0.3">
      <c r="A1352" s="101"/>
      <c r="B1352" s="102"/>
    </row>
    <row r="1353" spans="1:2" ht="13.8" x14ac:dyDescent="0.3">
      <c r="A1353" s="101"/>
      <c r="B1353" s="102"/>
    </row>
    <row r="1354" spans="1:2" ht="13.8" x14ac:dyDescent="0.3">
      <c r="A1354" s="101"/>
      <c r="B1354" s="102"/>
    </row>
    <row r="1355" spans="1:2" ht="13.8" x14ac:dyDescent="0.3">
      <c r="A1355" s="101"/>
      <c r="B1355" s="102"/>
    </row>
    <row r="1356" spans="1:2" ht="13.8" x14ac:dyDescent="0.3">
      <c r="A1356" s="101"/>
      <c r="B1356" s="102"/>
    </row>
    <row r="1357" spans="1:2" ht="13.8" x14ac:dyDescent="0.3">
      <c r="A1357" s="101"/>
      <c r="B1357" s="102"/>
    </row>
    <row r="1358" spans="1:2" ht="13.8" x14ac:dyDescent="0.3">
      <c r="A1358" s="101"/>
      <c r="B1358" s="102"/>
    </row>
    <row r="1359" spans="1:2" ht="13.8" x14ac:dyDescent="0.3">
      <c r="A1359" s="101"/>
      <c r="B1359" s="102"/>
    </row>
    <row r="1360" spans="1:2" ht="13.8" x14ac:dyDescent="0.3">
      <c r="A1360" s="101"/>
      <c r="B1360" s="102"/>
    </row>
    <row r="1361" spans="1:2" ht="13.8" x14ac:dyDescent="0.3">
      <c r="A1361" s="101"/>
      <c r="B1361" s="102"/>
    </row>
    <row r="1362" spans="1:2" ht="13.8" x14ac:dyDescent="0.3">
      <c r="A1362" s="101"/>
      <c r="B1362" s="102"/>
    </row>
    <row r="1363" spans="1:2" ht="13.8" x14ac:dyDescent="0.3">
      <c r="A1363" s="101"/>
      <c r="B1363" s="102"/>
    </row>
    <row r="1364" spans="1:2" ht="13.8" x14ac:dyDescent="0.3">
      <c r="A1364" s="101"/>
      <c r="B1364" s="102"/>
    </row>
    <row r="1365" spans="1:2" ht="13.8" x14ac:dyDescent="0.3">
      <c r="A1365" s="101"/>
      <c r="B1365" s="102"/>
    </row>
    <row r="1366" spans="1:2" ht="13.8" x14ac:dyDescent="0.3">
      <c r="A1366" s="101"/>
      <c r="B1366" s="102"/>
    </row>
    <row r="1367" spans="1:2" ht="13.8" x14ac:dyDescent="0.3">
      <c r="A1367" s="101"/>
      <c r="B1367" s="102"/>
    </row>
    <row r="1368" spans="1:2" ht="13.8" x14ac:dyDescent="0.3">
      <c r="A1368" s="101"/>
      <c r="B1368" s="102"/>
    </row>
    <row r="1369" spans="1:2" ht="13.8" x14ac:dyDescent="0.3">
      <c r="A1369" s="101"/>
      <c r="B1369" s="102"/>
    </row>
    <row r="1370" spans="1:2" ht="13.8" x14ac:dyDescent="0.3">
      <c r="A1370" s="101"/>
      <c r="B1370" s="102"/>
    </row>
    <row r="1371" spans="1:2" ht="13.8" x14ac:dyDescent="0.3">
      <c r="A1371" s="101"/>
      <c r="B1371" s="102"/>
    </row>
    <row r="1372" spans="1:2" ht="13.8" x14ac:dyDescent="0.3">
      <c r="A1372" s="101"/>
      <c r="B1372" s="102"/>
    </row>
    <row r="1373" spans="1:2" ht="13.8" x14ac:dyDescent="0.3">
      <c r="A1373" s="101"/>
      <c r="B1373" s="102"/>
    </row>
    <row r="1374" spans="1:2" ht="13.8" x14ac:dyDescent="0.3">
      <c r="A1374" s="101"/>
      <c r="B1374" s="102"/>
    </row>
    <row r="1375" spans="1:2" ht="13.8" x14ac:dyDescent="0.3">
      <c r="A1375" s="101"/>
      <c r="B1375" s="102"/>
    </row>
    <row r="1376" spans="1:2" ht="13.8" x14ac:dyDescent="0.3">
      <c r="A1376" s="101"/>
      <c r="B1376" s="102"/>
    </row>
    <row r="1377" spans="1:2" ht="13.8" x14ac:dyDescent="0.3">
      <c r="A1377" s="101"/>
      <c r="B1377" s="102"/>
    </row>
    <row r="1378" spans="1:2" ht="13.8" x14ac:dyDescent="0.3">
      <c r="A1378" s="101"/>
      <c r="B1378" s="102"/>
    </row>
    <row r="1379" spans="1:2" ht="13.8" x14ac:dyDescent="0.3">
      <c r="A1379" s="101"/>
      <c r="B1379" s="102"/>
    </row>
    <row r="1380" spans="1:2" ht="13.8" x14ac:dyDescent="0.3">
      <c r="A1380" s="101"/>
      <c r="B1380" s="102"/>
    </row>
    <row r="1381" spans="1:2" ht="13.8" x14ac:dyDescent="0.3">
      <c r="A1381" s="101"/>
      <c r="B1381" s="102"/>
    </row>
    <row r="1382" spans="1:2" ht="13.8" x14ac:dyDescent="0.3">
      <c r="A1382" s="101"/>
      <c r="B1382" s="102"/>
    </row>
    <row r="1383" spans="1:2" ht="13.8" x14ac:dyDescent="0.3">
      <c r="A1383" s="101"/>
      <c r="B1383" s="102"/>
    </row>
    <row r="1384" spans="1:2" ht="13.8" x14ac:dyDescent="0.3">
      <c r="A1384" s="101"/>
      <c r="B1384" s="102"/>
    </row>
    <row r="1385" spans="1:2" ht="13.8" x14ac:dyDescent="0.3">
      <c r="A1385" s="101"/>
      <c r="B1385" s="102"/>
    </row>
    <row r="1386" spans="1:2" ht="13.8" x14ac:dyDescent="0.3">
      <c r="A1386" s="101"/>
      <c r="B1386" s="102"/>
    </row>
    <row r="1387" spans="1:2" ht="13.8" x14ac:dyDescent="0.3">
      <c r="A1387" s="101"/>
      <c r="B1387" s="102"/>
    </row>
    <row r="1388" spans="1:2" ht="13.8" x14ac:dyDescent="0.3">
      <c r="A1388" s="101"/>
      <c r="B1388" s="102"/>
    </row>
    <row r="1389" spans="1:2" ht="13.8" x14ac:dyDescent="0.3">
      <c r="A1389" s="101"/>
      <c r="B1389" s="102"/>
    </row>
    <row r="1390" spans="1:2" ht="13.8" x14ac:dyDescent="0.3">
      <c r="A1390" s="101"/>
      <c r="B1390" s="102"/>
    </row>
    <row r="1391" spans="1:2" ht="13.8" x14ac:dyDescent="0.3">
      <c r="A1391" s="101"/>
      <c r="B1391" s="102"/>
    </row>
    <row r="1392" spans="1:2" ht="13.8" x14ac:dyDescent="0.3">
      <c r="A1392" s="101"/>
      <c r="B1392" s="102"/>
    </row>
    <row r="1393" spans="1:2" ht="13.8" x14ac:dyDescent="0.3">
      <c r="A1393" s="101"/>
      <c r="B1393" s="102"/>
    </row>
    <row r="1394" spans="1:2" ht="13.8" x14ac:dyDescent="0.3">
      <c r="A1394" s="101"/>
      <c r="B1394" s="102"/>
    </row>
    <row r="1395" spans="1:2" ht="13.8" x14ac:dyDescent="0.3">
      <c r="A1395" s="101"/>
      <c r="B1395" s="102"/>
    </row>
    <row r="1396" spans="1:2" ht="13.8" x14ac:dyDescent="0.3">
      <c r="A1396" s="101"/>
      <c r="B1396" s="102"/>
    </row>
    <row r="1397" spans="1:2" ht="13.8" x14ac:dyDescent="0.3">
      <c r="A1397" s="101"/>
      <c r="B1397" s="102"/>
    </row>
    <row r="1398" spans="1:2" ht="13.8" x14ac:dyDescent="0.3">
      <c r="A1398" s="101"/>
      <c r="B1398" s="102"/>
    </row>
    <row r="1399" spans="1:2" ht="13.8" x14ac:dyDescent="0.3">
      <c r="A1399" s="101"/>
      <c r="B1399" s="102"/>
    </row>
    <row r="1400" spans="1:2" ht="13.8" x14ac:dyDescent="0.3">
      <c r="A1400" s="101"/>
      <c r="B1400" s="102"/>
    </row>
    <row r="1401" spans="1:2" ht="13.8" x14ac:dyDescent="0.3">
      <c r="A1401" s="101"/>
      <c r="B1401" s="102"/>
    </row>
    <row r="1402" spans="1:2" ht="13.8" x14ac:dyDescent="0.3">
      <c r="A1402" s="101"/>
      <c r="B1402" s="102"/>
    </row>
    <row r="1403" spans="1:2" ht="13.8" x14ac:dyDescent="0.3">
      <c r="A1403" s="101"/>
      <c r="B1403" s="102"/>
    </row>
    <row r="1404" spans="1:2" ht="13.8" x14ac:dyDescent="0.3">
      <c r="A1404" s="101"/>
      <c r="B1404" s="102"/>
    </row>
    <row r="1405" spans="1:2" ht="13.8" x14ac:dyDescent="0.3">
      <c r="A1405" s="101"/>
      <c r="B1405" s="102"/>
    </row>
    <row r="1406" spans="1:2" ht="13.8" x14ac:dyDescent="0.3">
      <c r="A1406" s="101"/>
      <c r="B1406" s="102"/>
    </row>
    <row r="1407" spans="1:2" ht="13.8" x14ac:dyDescent="0.3">
      <c r="A1407" s="101"/>
      <c r="B1407" s="102"/>
    </row>
    <row r="1408" spans="1:2" ht="13.8" x14ac:dyDescent="0.3">
      <c r="A1408" s="101"/>
      <c r="B1408" s="102"/>
    </row>
    <row r="1409" spans="1:2" ht="13.8" x14ac:dyDescent="0.3">
      <c r="A1409" s="101"/>
      <c r="B1409" s="102"/>
    </row>
    <row r="1410" spans="1:2" ht="13.8" x14ac:dyDescent="0.3">
      <c r="A1410" s="101"/>
      <c r="B1410" s="102"/>
    </row>
    <row r="1411" spans="1:2" ht="13.8" x14ac:dyDescent="0.3">
      <c r="A1411" s="101"/>
      <c r="B1411" s="102"/>
    </row>
    <row r="1412" spans="1:2" ht="13.8" x14ac:dyDescent="0.3">
      <c r="A1412" s="101"/>
      <c r="B1412" s="102"/>
    </row>
    <row r="1413" spans="1:2" ht="13.8" x14ac:dyDescent="0.3">
      <c r="A1413" s="101"/>
      <c r="B1413" s="102"/>
    </row>
    <row r="1414" spans="1:2" ht="13.8" x14ac:dyDescent="0.3">
      <c r="A1414" s="101"/>
      <c r="B1414" s="102"/>
    </row>
    <row r="1415" spans="1:2" ht="13.8" x14ac:dyDescent="0.3">
      <c r="A1415" s="101"/>
      <c r="B1415" s="102"/>
    </row>
    <row r="1416" spans="1:2" ht="13.8" x14ac:dyDescent="0.3">
      <c r="A1416" s="101"/>
      <c r="B1416" s="102"/>
    </row>
    <row r="1417" spans="1:2" ht="13.8" x14ac:dyDescent="0.3">
      <c r="A1417" s="101"/>
      <c r="B1417" s="102"/>
    </row>
    <row r="1418" spans="1:2" ht="13.8" x14ac:dyDescent="0.3">
      <c r="A1418" s="101"/>
      <c r="B1418" s="102"/>
    </row>
    <row r="1419" spans="1:2" ht="13.8" x14ac:dyDescent="0.3">
      <c r="A1419" s="101"/>
      <c r="B1419" s="102"/>
    </row>
    <row r="1420" spans="1:2" ht="13.8" x14ac:dyDescent="0.3">
      <c r="A1420" s="101"/>
      <c r="B1420" s="102"/>
    </row>
    <row r="1421" spans="1:2" ht="13.8" x14ac:dyDescent="0.3">
      <c r="A1421" s="101"/>
      <c r="B1421" s="102"/>
    </row>
    <row r="1422" spans="1:2" ht="13.8" x14ac:dyDescent="0.3">
      <c r="A1422" s="101"/>
      <c r="B1422" s="102"/>
    </row>
    <row r="1423" spans="1:2" ht="13.8" x14ac:dyDescent="0.3">
      <c r="A1423" s="101"/>
      <c r="B1423" s="102"/>
    </row>
    <row r="1424" spans="1:2" ht="13.8" x14ac:dyDescent="0.3">
      <c r="A1424" s="101"/>
      <c r="B1424" s="102"/>
    </row>
    <row r="1425" spans="1:2" ht="13.8" x14ac:dyDescent="0.3">
      <c r="A1425" s="101"/>
      <c r="B1425" s="102"/>
    </row>
    <row r="1426" spans="1:2" ht="13.8" x14ac:dyDescent="0.3">
      <c r="A1426" s="101"/>
      <c r="B1426" s="102"/>
    </row>
    <row r="1427" spans="1:2" ht="13.8" x14ac:dyDescent="0.3">
      <c r="A1427" s="101"/>
      <c r="B1427" s="102"/>
    </row>
    <row r="1428" spans="1:2" ht="13.8" x14ac:dyDescent="0.3">
      <c r="A1428" s="101"/>
      <c r="B1428" s="102"/>
    </row>
    <row r="1429" spans="1:2" ht="13.8" x14ac:dyDescent="0.3">
      <c r="A1429" s="101"/>
      <c r="B1429" s="102"/>
    </row>
    <row r="1430" spans="1:2" ht="13.8" x14ac:dyDescent="0.3">
      <c r="A1430" s="101"/>
      <c r="B1430" s="102"/>
    </row>
    <row r="1431" spans="1:2" ht="13.8" x14ac:dyDescent="0.3">
      <c r="A1431" s="101"/>
      <c r="B1431" s="102"/>
    </row>
    <row r="1432" spans="1:2" ht="13.8" x14ac:dyDescent="0.3">
      <c r="A1432" s="101"/>
      <c r="B1432" s="102"/>
    </row>
    <row r="1433" spans="1:2" ht="13.8" x14ac:dyDescent="0.3">
      <c r="A1433" s="101"/>
      <c r="B1433" s="102"/>
    </row>
    <row r="1434" spans="1:2" ht="13.8" x14ac:dyDescent="0.3">
      <c r="A1434" s="101"/>
      <c r="B1434" s="102"/>
    </row>
    <row r="1435" spans="1:2" ht="13.8" x14ac:dyDescent="0.3">
      <c r="A1435" s="101"/>
      <c r="B1435" s="102"/>
    </row>
    <row r="1436" spans="1:2" ht="13.8" x14ac:dyDescent="0.3">
      <c r="A1436" s="101"/>
      <c r="B1436" s="102"/>
    </row>
    <row r="1437" spans="1:2" ht="13.8" x14ac:dyDescent="0.3">
      <c r="A1437" s="101"/>
      <c r="B1437" s="102"/>
    </row>
    <row r="1438" spans="1:2" ht="13.8" x14ac:dyDescent="0.3">
      <c r="A1438" s="101"/>
      <c r="B1438" s="102"/>
    </row>
    <row r="1439" spans="1:2" ht="13.8" x14ac:dyDescent="0.3">
      <c r="A1439" s="101"/>
      <c r="B1439" s="102"/>
    </row>
    <row r="1440" spans="1:2" ht="13.8" x14ac:dyDescent="0.3">
      <c r="A1440" s="101"/>
      <c r="B1440" s="102"/>
    </row>
    <row r="1441" spans="1:2" ht="13.8" x14ac:dyDescent="0.3">
      <c r="A1441" s="101"/>
      <c r="B1441" s="102"/>
    </row>
    <row r="1442" spans="1:2" ht="13.8" x14ac:dyDescent="0.3">
      <c r="A1442" s="101"/>
      <c r="B1442" s="102"/>
    </row>
    <row r="1443" spans="1:2" ht="13.8" x14ac:dyDescent="0.3">
      <c r="A1443" s="101"/>
      <c r="B1443" s="102"/>
    </row>
    <row r="1444" spans="1:2" ht="13.8" x14ac:dyDescent="0.3">
      <c r="A1444" s="101"/>
      <c r="B1444" s="102"/>
    </row>
    <row r="1445" spans="1:2" ht="13.8" x14ac:dyDescent="0.3">
      <c r="A1445" s="101"/>
      <c r="B1445" s="102"/>
    </row>
    <row r="1446" spans="1:2" ht="13.8" x14ac:dyDescent="0.3">
      <c r="A1446" s="101"/>
      <c r="B1446" s="102"/>
    </row>
    <row r="1447" spans="1:2" ht="13.8" x14ac:dyDescent="0.3">
      <c r="A1447" s="101"/>
      <c r="B1447" s="102"/>
    </row>
    <row r="1448" spans="1:2" ht="13.8" x14ac:dyDescent="0.3">
      <c r="A1448" s="101"/>
      <c r="B1448" s="102"/>
    </row>
    <row r="1449" spans="1:2" ht="13.8" x14ac:dyDescent="0.3">
      <c r="A1449" s="101"/>
      <c r="B1449" s="102"/>
    </row>
    <row r="1450" spans="1:2" ht="13.8" x14ac:dyDescent="0.3">
      <c r="A1450" s="101"/>
      <c r="B1450" s="102"/>
    </row>
    <row r="1451" spans="1:2" ht="13.8" x14ac:dyDescent="0.3">
      <c r="A1451" s="101"/>
      <c r="B1451" s="102"/>
    </row>
    <row r="1452" spans="1:2" ht="13.8" x14ac:dyDescent="0.3">
      <c r="A1452" s="101"/>
      <c r="B1452" s="102"/>
    </row>
    <row r="1453" spans="1:2" ht="13.8" x14ac:dyDescent="0.3">
      <c r="A1453" s="101"/>
      <c r="B1453" s="102"/>
    </row>
    <row r="1454" spans="1:2" ht="13.8" x14ac:dyDescent="0.3">
      <c r="A1454" s="101"/>
      <c r="B1454" s="102"/>
    </row>
    <row r="1455" spans="1:2" ht="13.8" x14ac:dyDescent="0.3">
      <c r="A1455" s="101"/>
      <c r="B1455" s="102"/>
    </row>
    <row r="1456" spans="1:2" ht="13.8" x14ac:dyDescent="0.3">
      <c r="A1456" s="101"/>
      <c r="B1456" s="102"/>
    </row>
    <row r="1457" spans="1:2" ht="13.8" x14ac:dyDescent="0.3">
      <c r="A1457" s="101"/>
      <c r="B1457" s="102"/>
    </row>
    <row r="1458" spans="1:2" ht="13.8" x14ac:dyDescent="0.3">
      <c r="A1458" s="101"/>
      <c r="B1458" s="102"/>
    </row>
    <row r="1459" spans="1:2" ht="13.8" x14ac:dyDescent="0.3">
      <c r="A1459" s="101"/>
      <c r="B1459" s="102"/>
    </row>
    <row r="1460" spans="1:2" ht="13.8" x14ac:dyDescent="0.3">
      <c r="A1460" s="101"/>
      <c r="B1460" s="102"/>
    </row>
    <row r="1461" spans="1:2" ht="13.8" x14ac:dyDescent="0.3">
      <c r="A1461" s="101"/>
      <c r="B1461" s="102"/>
    </row>
    <row r="1462" spans="1:2" ht="13.8" x14ac:dyDescent="0.3">
      <c r="A1462" s="101"/>
      <c r="B1462" s="102"/>
    </row>
    <row r="1463" spans="1:2" ht="13.8" x14ac:dyDescent="0.3">
      <c r="A1463" s="101"/>
      <c r="B1463" s="102"/>
    </row>
    <row r="1464" spans="1:2" ht="13.8" x14ac:dyDescent="0.3">
      <c r="A1464" s="101"/>
      <c r="B1464" s="102"/>
    </row>
    <row r="1465" spans="1:2" ht="13.8" x14ac:dyDescent="0.3">
      <c r="A1465" s="101"/>
      <c r="B1465" s="102"/>
    </row>
    <row r="1466" spans="1:2" ht="13.8" x14ac:dyDescent="0.3">
      <c r="A1466" s="101"/>
      <c r="B1466" s="102"/>
    </row>
    <row r="1467" spans="1:2" ht="13.8" x14ac:dyDescent="0.3">
      <c r="A1467" s="101"/>
      <c r="B1467" s="102"/>
    </row>
    <row r="1468" spans="1:2" ht="13.8" x14ac:dyDescent="0.3">
      <c r="A1468" s="101"/>
      <c r="B1468" s="102"/>
    </row>
    <row r="1469" spans="1:2" ht="13.8" x14ac:dyDescent="0.3">
      <c r="A1469" s="101"/>
      <c r="B1469" s="102"/>
    </row>
    <row r="1470" spans="1:2" ht="13.8" x14ac:dyDescent="0.3">
      <c r="A1470" s="101"/>
      <c r="B1470" s="102"/>
    </row>
    <row r="1471" spans="1:2" ht="13.8" x14ac:dyDescent="0.3">
      <c r="A1471" s="101"/>
      <c r="B1471" s="102"/>
    </row>
    <row r="1472" spans="1:2" ht="13.8" x14ac:dyDescent="0.3">
      <c r="A1472" s="101"/>
      <c r="B1472" s="102"/>
    </row>
    <row r="1473" spans="1:2" ht="13.8" x14ac:dyDescent="0.3">
      <c r="A1473" s="101"/>
      <c r="B1473" s="102"/>
    </row>
    <row r="1474" spans="1:2" ht="13.8" x14ac:dyDescent="0.3">
      <c r="A1474" s="101"/>
      <c r="B1474" s="102"/>
    </row>
    <row r="1475" spans="1:2" ht="13.8" x14ac:dyDescent="0.3">
      <c r="A1475" s="101"/>
      <c r="B1475" s="102"/>
    </row>
    <row r="1476" spans="1:2" ht="13.8" x14ac:dyDescent="0.3">
      <c r="A1476" s="101"/>
      <c r="B1476" s="102"/>
    </row>
    <row r="1477" spans="1:2" ht="13.8" x14ac:dyDescent="0.3">
      <c r="A1477" s="101"/>
      <c r="B1477" s="102"/>
    </row>
    <row r="1478" spans="1:2" ht="13.8" x14ac:dyDescent="0.3">
      <c r="A1478" s="101"/>
      <c r="B1478" s="102"/>
    </row>
    <row r="1479" spans="1:2" ht="13.8" x14ac:dyDescent="0.3">
      <c r="A1479" s="101"/>
      <c r="B1479" s="102"/>
    </row>
    <row r="1480" spans="1:2" ht="13.8" x14ac:dyDescent="0.3">
      <c r="A1480" s="101"/>
      <c r="B1480" s="102"/>
    </row>
    <row r="1481" spans="1:2" ht="13.8" x14ac:dyDescent="0.3">
      <c r="A1481" s="101"/>
      <c r="B1481" s="102"/>
    </row>
    <row r="1482" spans="1:2" ht="13.8" x14ac:dyDescent="0.3">
      <c r="A1482" s="101"/>
      <c r="B1482" s="102"/>
    </row>
    <row r="1483" spans="1:2" ht="13.8" x14ac:dyDescent="0.3">
      <c r="A1483" s="101"/>
      <c r="B1483" s="102"/>
    </row>
    <row r="1484" spans="1:2" ht="13.8" x14ac:dyDescent="0.3">
      <c r="A1484" s="101"/>
      <c r="B1484" s="102"/>
    </row>
    <row r="1485" spans="1:2" ht="13.8" x14ac:dyDescent="0.3">
      <c r="A1485" s="101"/>
      <c r="B1485" s="102"/>
    </row>
    <row r="1486" spans="1:2" ht="13.8" x14ac:dyDescent="0.3">
      <c r="A1486" s="101"/>
      <c r="B1486" s="102"/>
    </row>
    <row r="1487" spans="1:2" ht="13.8" x14ac:dyDescent="0.3">
      <c r="A1487" s="101"/>
      <c r="B1487" s="102"/>
    </row>
    <row r="1488" spans="1:2" ht="13.8" x14ac:dyDescent="0.3">
      <c r="A1488" s="101"/>
      <c r="B1488" s="102"/>
    </row>
    <row r="1489" spans="1:2" ht="13.8" x14ac:dyDescent="0.3">
      <c r="A1489" s="101"/>
      <c r="B1489" s="102"/>
    </row>
    <row r="1490" spans="1:2" ht="13.8" x14ac:dyDescent="0.3">
      <c r="A1490" s="101"/>
      <c r="B1490" s="102"/>
    </row>
    <row r="1491" spans="1:2" ht="13.8" x14ac:dyDescent="0.3">
      <c r="A1491" s="101"/>
      <c r="B1491" s="102"/>
    </row>
    <row r="1492" spans="1:2" ht="13.8" x14ac:dyDescent="0.3">
      <c r="A1492" s="101"/>
      <c r="B1492" s="102"/>
    </row>
    <row r="1493" spans="1:2" ht="13.8" x14ac:dyDescent="0.3">
      <c r="A1493" s="101"/>
      <c r="B1493" s="102"/>
    </row>
    <row r="1494" spans="1:2" ht="13.8" x14ac:dyDescent="0.3">
      <c r="A1494" s="101"/>
      <c r="B1494" s="102"/>
    </row>
    <row r="1495" spans="1:2" ht="13.8" x14ac:dyDescent="0.3">
      <c r="A1495" s="101"/>
      <c r="B1495" s="102"/>
    </row>
    <row r="1496" spans="1:2" ht="13.8" x14ac:dyDescent="0.3">
      <c r="A1496" s="101"/>
      <c r="B1496" s="102"/>
    </row>
    <row r="1497" spans="1:2" ht="13.8" x14ac:dyDescent="0.3">
      <c r="A1497" s="101"/>
      <c r="B1497" s="102"/>
    </row>
    <row r="1498" spans="1:2" ht="13.8" x14ac:dyDescent="0.3">
      <c r="A1498" s="101"/>
      <c r="B1498" s="102"/>
    </row>
    <row r="1499" spans="1:2" ht="13.8" x14ac:dyDescent="0.3">
      <c r="A1499" s="101"/>
      <c r="B1499" s="102"/>
    </row>
    <row r="1500" spans="1:2" ht="13.8" x14ac:dyDescent="0.3">
      <c r="A1500" s="101"/>
      <c r="B1500" s="102"/>
    </row>
    <row r="1501" spans="1:2" ht="13.8" x14ac:dyDescent="0.3">
      <c r="A1501" s="101"/>
      <c r="B1501" s="102"/>
    </row>
    <row r="1502" spans="1:2" ht="13.8" x14ac:dyDescent="0.3">
      <c r="A1502" s="101"/>
      <c r="B1502" s="102"/>
    </row>
    <row r="1503" spans="1:2" ht="13.8" x14ac:dyDescent="0.3">
      <c r="A1503" s="101"/>
      <c r="B1503" s="102"/>
    </row>
    <row r="1504" spans="1:2" ht="13.8" x14ac:dyDescent="0.3">
      <c r="A1504" s="101"/>
      <c r="B1504" s="102"/>
    </row>
    <row r="1505" spans="1:2" ht="13.8" x14ac:dyDescent="0.3">
      <c r="A1505" s="101"/>
      <c r="B1505" s="102"/>
    </row>
    <row r="1506" spans="1:2" ht="13.8" x14ac:dyDescent="0.3">
      <c r="A1506" s="101"/>
      <c r="B1506" s="102"/>
    </row>
    <row r="1507" spans="1:2" ht="13.8" x14ac:dyDescent="0.3">
      <c r="A1507" s="101"/>
      <c r="B1507" s="102"/>
    </row>
    <row r="1508" spans="1:2" ht="13.8" x14ac:dyDescent="0.3">
      <c r="A1508" s="101"/>
      <c r="B1508" s="102"/>
    </row>
    <row r="1509" spans="1:2" ht="13.8" x14ac:dyDescent="0.3">
      <c r="A1509" s="101"/>
      <c r="B1509" s="102"/>
    </row>
    <row r="1510" spans="1:2" ht="13.8" x14ac:dyDescent="0.3">
      <c r="A1510" s="101"/>
      <c r="B1510" s="102"/>
    </row>
    <row r="1511" spans="1:2" ht="13.8" x14ac:dyDescent="0.3">
      <c r="A1511" s="101"/>
      <c r="B1511" s="102"/>
    </row>
    <row r="1512" spans="1:2" ht="13.8" x14ac:dyDescent="0.3">
      <c r="A1512" s="101"/>
      <c r="B1512" s="102"/>
    </row>
    <row r="1513" spans="1:2" ht="13.8" x14ac:dyDescent="0.3">
      <c r="A1513" s="101"/>
      <c r="B1513" s="102"/>
    </row>
    <row r="1514" spans="1:2" ht="13.8" x14ac:dyDescent="0.3">
      <c r="A1514" s="101"/>
      <c r="B1514" s="102"/>
    </row>
    <row r="1515" spans="1:2" ht="13.8" x14ac:dyDescent="0.3">
      <c r="A1515" s="101"/>
      <c r="B1515" s="102"/>
    </row>
    <row r="1516" spans="1:2" ht="13.8" x14ac:dyDescent="0.3">
      <c r="A1516" s="101"/>
      <c r="B1516" s="102"/>
    </row>
    <row r="1517" spans="1:2" ht="13.8" x14ac:dyDescent="0.3">
      <c r="A1517" s="101"/>
      <c r="B1517" s="102"/>
    </row>
    <row r="1518" spans="1:2" ht="13.8" x14ac:dyDescent="0.3">
      <c r="A1518" s="101"/>
      <c r="B1518" s="102"/>
    </row>
    <row r="1519" spans="1:2" ht="13.8" x14ac:dyDescent="0.3">
      <c r="A1519" s="101"/>
      <c r="B1519" s="102"/>
    </row>
    <row r="1520" spans="1:2" ht="13.8" x14ac:dyDescent="0.3">
      <c r="A1520" s="101"/>
      <c r="B1520" s="102"/>
    </row>
    <row r="1521" spans="1:2" ht="13.8" x14ac:dyDescent="0.3">
      <c r="A1521" s="101"/>
      <c r="B1521" s="102"/>
    </row>
    <row r="1522" spans="1:2" ht="13.8" x14ac:dyDescent="0.3">
      <c r="A1522" s="101"/>
      <c r="B1522" s="102"/>
    </row>
    <row r="1523" spans="1:2" ht="13.8" x14ac:dyDescent="0.3">
      <c r="A1523" s="101"/>
      <c r="B1523" s="102"/>
    </row>
    <row r="1524" spans="1:2" ht="13.8" x14ac:dyDescent="0.3">
      <c r="A1524" s="101"/>
      <c r="B1524" s="102"/>
    </row>
    <row r="1525" spans="1:2" ht="13.8" x14ac:dyDescent="0.3">
      <c r="A1525" s="101"/>
      <c r="B1525" s="102"/>
    </row>
    <row r="1526" spans="1:2" ht="13.8" x14ac:dyDescent="0.3">
      <c r="A1526" s="101"/>
      <c r="B1526" s="102"/>
    </row>
    <row r="1527" spans="1:2" ht="13.8" x14ac:dyDescent="0.3">
      <c r="A1527" s="101"/>
      <c r="B1527" s="102"/>
    </row>
    <row r="1528" spans="1:2" ht="13.8" x14ac:dyDescent="0.3">
      <c r="A1528" s="101"/>
      <c r="B1528" s="102"/>
    </row>
    <row r="1529" spans="1:2" ht="13.8" x14ac:dyDescent="0.3">
      <c r="A1529" s="101"/>
      <c r="B1529" s="102"/>
    </row>
    <row r="1530" spans="1:2" ht="13.8" x14ac:dyDescent="0.3">
      <c r="A1530" s="101"/>
      <c r="B1530" s="102"/>
    </row>
    <row r="1531" spans="1:2" ht="13.8" x14ac:dyDescent="0.3">
      <c r="A1531" s="101"/>
      <c r="B1531" s="102"/>
    </row>
    <row r="1532" spans="1:2" ht="13.8" x14ac:dyDescent="0.3">
      <c r="A1532" s="101"/>
      <c r="B1532" s="102"/>
    </row>
    <row r="1533" spans="1:2" ht="13.8" x14ac:dyDescent="0.3">
      <c r="A1533" s="101"/>
      <c r="B1533" s="102"/>
    </row>
    <row r="1534" spans="1:2" ht="13.8" x14ac:dyDescent="0.3">
      <c r="A1534" s="101"/>
      <c r="B1534" s="102"/>
    </row>
    <row r="1535" spans="1:2" ht="13.8" x14ac:dyDescent="0.3">
      <c r="A1535" s="101"/>
      <c r="B1535" s="102"/>
    </row>
    <row r="1536" spans="1:2" ht="13.8" x14ac:dyDescent="0.3">
      <c r="A1536" s="101"/>
      <c r="B1536" s="102"/>
    </row>
    <row r="1537" spans="1:2" ht="13.8" x14ac:dyDescent="0.3">
      <c r="A1537" s="101"/>
      <c r="B1537" s="102"/>
    </row>
    <row r="1538" spans="1:2" ht="13.8" x14ac:dyDescent="0.3">
      <c r="A1538" s="101"/>
      <c r="B1538" s="102"/>
    </row>
    <row r="1539" spans="1:2" ht="13.8" x14ac:dyDescent="0.3">
      <c r="A1539" s="101"/>
      <c r="B1539" s="102"/>
    </row>
    <row r="1540" spans="1:2" ht="13.8" x14ac:dyDescent="0.3">
      <c r="A1540" s="101"/>
      <c r="B1540" s="102"/>
    </row>
    <row r="1541" spans="1:2" ht="13.8" x14ac:dyDescent="0.3">
      <c r="A1541" s="101"/>
      <c r="B1541" s="102"/>
    </row>
    <row r="1542" spans="1:2" ht="13.8" x14ac:dyDescent="0.3">
      <c r="A1542" s="101"/>
      <c r="B1542" s="102"/>
    </row>
    <row r="1543" spans="1:2" ht="13.8" x14ac:dyDescent="0.3">
      <c r="A1543" s="101"/>
      <c r="B1543" s="102"/>
    </row>
    <row r="1544" spans="1:2" ht="13.8" x14ac:dyDescent="0.3">
      <c r="A1544" s="101"/>
      <c r="B1544" s="102"/>
    </row>
    <row r="1545" spans="1:2" ht="13.8" x14ac:dyDescent="0.3">
      <c r="A1545" s="101"/>
      <c r="B1545" s="102"/>
    </row>
    <row r="1546" spans="1:2" ht="13.8" x14ac:dyDescent="0.3">
      <c r="A1546" s="101"/>
      <c r="B1546" s="102"/>
    </row>
    <row r="1547" spans="1:2" ht="13.8" x14ac:dyDescent="0.3">
      <c r="A1547" s="101"/>
      <c r="B1547" s="102"/>
    </row>
    <row r="1548" spans="1:2" ht="13.8" x14ac:dyDescent="0.3">
      <c r="A1548" s="101"/>
      <c r="B1548" s="102"/>
    </row>
    <row r="1549" spans="1:2" ht="13.8" x14ac:dyDescent="0.3">
      <c r="A1549" s="101"/>
      <c r="B1549" s="102"/>
    </row>
    <row r="1550" spans="1:2" ht="13.8" x14ac:dyDescent="0.3">
      <c r="A1550" s="101"/>
      <c r="B1550" s="102"/>
    </row>
    <row r="1551" spans="1:2" ht="13.8" x14ac:dyDescent="0.3">
      <c r="A1551" s="101"/>
      <c r="B1551" s="102"/>
    </row>
    <row r="1552" spans="1:2" ht="13.8" x14ac:dyDescent="0.3">
      <c r="A1552" s="101"/>
      <c r="B1552" s="102"/>
    </row>
    <row r="1553" spans="1:2" ht="13.8" x14ac:dyDescent="0.3">
      <c r="A1553" s="101"/>
      <c r="B1553" s="102"/>
    </row>
    <row r="1554" spans="1:2" ht="13.8" x14ac:dyDescent="0.3">
      <c r="A1554" s="101"/>
      <c r="B1554" s="102"/>
    </row>
    <row r="1555" spans="1:2" ht="13.8" x14ac:dyDescent="0.3">
      <c r="A1555" s="101"/>
      <c r="B1555" s="102"/>
    </row>
    <row r="1556" spans="1:2" ht="13.8" x14ac:dyDescent="0.3">
      <c r="A1556" s="101"/>
      <c r="B1556" s="102"/>
    </row>
    <row r="1557" spans="1:2" ht="13.8" x14ac:dyDescent="0.3">
      <c r="A1557" s="101"/>
      <c r="B1557" s="102"/>
    </row>
    <row r="1558" spans="1:2" ht="13.8" x14ac:dyDescent="0.3">
      <c r="A1558" s="101"/>
      <c r="B1558" s="102"/>
    </row>
    <row r="1559" spans="1:2" ht="13.8" x14ac:dyDescent="0.3">
      <c r="A1559" s="101"/>
      <c r="B1559" s="102"/>
    </row>
    <row r="1560" spans="1:2" ht="13.8" x14ac:dyDescent="0.3">
      <c r="A1560" s="101"/>
      <c r="B1560" s="102"/>
    </row>
    <row r="1561" spans="1:2" ht="13.8" x14ac:dyDescent="0.3">
      <c r="A1561" s="101"/>
      <c r="B1561" s="102"/>
    </row>
    <row r="1562" spans="1:2" ht="13.8" x14ac:dyDescent="0.3">
      <c r="A1562" s="101"/>
      <c r="B1562" s="102"/>
    </row>
    <row r="1563" spans="1:2" ht="13.8" x14ac:dyDescent="0.3">
      <c r="A1563" s="101"/>
      <c r="B1563" s="102"/>
    </row>
    <row r="1564" spans="1:2" ht="13.8" x14ac:dyDescent="0.3">
      <c r="A1564" s="101"/>
      <c r="B1564" s="102"/>
    </row>
    <row r="1565" spans="1:2" ht="13.8" x14ac:dyDescent="0.3">
      <c r="A1565" s="101"/>
      <c r="B1565" s="102"/>
    </row>
    <row r="1566" spans="1:2" ht="13.8" x14ac:dyDescent="0.3">
      <c r="A1566" s="101"/>
      <c r="B1566" s="102"/>
    </row>
    <row r="1567" spans="1:2" ht="13.8" x14ac:dyDescent="0.3">
      <c r="A1567" s="101"/>
      <c r="B1567" s="102"/>
    </row>
    <row r="1568" spans="1:2" ht="13.8" x14ac:dyDescent="0.3">
      <c r="A1568" s="101"/>
      <c r="B1568" s="102"/>
    </row>
    <row r="1569" spans="1:2" ht="13.8" x14ac:dyDescent="0.3">
      <c r="A1569" s="101"/>
      <c r="B1569" s="102"/>
    </row>
    <row r="1570" spans="1:2" ht="13.8" x14ac:dyDescent="0.3">
      <c r="A1570" s="101"/>
      <c r="B1570" s="102"/>
    </row>
    <row r="1571" spans="1:2" ht="13.8" x14ac:dyDescent="0.3">
      <c r="A1571" s="101"/>
      <c r="B1571" s="102"/>
    </row>
    <row r="1572" spans="1:2" ht="13.8" x14ac:dyDescent="0.3">
      <c r="A1572" s="101"/>
      <c r="B1572" s="102"/>
    </row>
    <row r="1573" spans="1:2" ht="13.8" x14ac:dyDescent="0.3">
      <c r="A1573" s="101"/>
      <c r="B1573" s="102"/>
    </row>
    <row r="1574" spans="1:2" ht="13.8" x14ac:dyDescent="0.3">
      <c r="A1574" s="101"/>
      <c r="B1574" s="102"/>
    </row>
    <row r="1575" spans="1:2" ht="13.8" x14ac:dyDescent="0.3">
      <c r="A1575" s="101"/>
      <c r="B1575" s="102"/>
    </row>
    <row r="1576" spans="1:2" ht="13.8" x14ac:dyDescent="0.3">
      <c r="A1576" s="101"/>
      <c r="B1576" s="102"/>
    </row>
    <row r="1577" spans="1:2" ht="13.8" x14ac:dyDescent="0.3">
      <c r="A1577" s="101"/>
      <c r="B1577" s="102"/>
    </row>
    <row r="1578" spans="1:2" ht="13.8" x14ac:dyDescent="0.3">
      <c r="A1578" s="101"/>
      <c r="B1578" s="102"/>
    </row>
    <row r="1579" spans="1:2" ht="13.8" x14ac:dyDescent="0.3">
      <c r="A1579" s="101"/>
      <c r="B1579" s="102"/>
    </row>
    <row r="1580" spans="1:2" ht="13.8" x14ac:dyDescent="0.3">
      <c r="A1580" s="101"/>
      <c r="B1580" s="102"/>
    </row>
    <row r="1581" spans="1:2" ht="13.8" x14ac:dyDescent="0.3">
      <c r="A1581" s="101"/>
      <c r="B1581" s="102"/>
    </row>
    <row r="1582" spans="1:2" ht="13.8" x14ac:dyDescent="0.3">
      <c r="A1582" s="101"/>
      <c r="B1582" s="102"/>
    </row>
    <row r="1583" spans="1:2" ht="13.8" x14ac:dyDescent="0.3">
      <c r="A1583" s="101"/>
      <c r="B1583" s="102"/>
    </row>
    <row r="1584" spans="1:2" ht="13.8" x14ac:dyDescent="0.3">
      <c r="A1584" s="101"/>
      <c r="B1584" s="102"/>
    </row>
    <row r="1585" spans="1:2" ht="13.8" x14ac:dyDescent="0.3">
      <c r="A1585" s="101"/>
      <c r="B1585" s="102"/>
    </row>
    <row r="1586" spans="1:2" ht="13.8" x14ac:dyDescent="0.3">
      <c r="A1586" s="101"/>
      <c r="B1586" s="102"/>
    </row>
    <row r="1587" spans="1:2" ht="13.8" x14ac:dyDescent="0.3">
      <c r="A1587" s="101"/>
      <c r="B1587" s="102"/>
    </row>
    <row r="1588" spans="1:2" ht="13.8" x14ac:dyDescent="0.3">
      <c r="A1588" s="101"/>
      <c r="B1588" s="102"/>
    </row>
    <row r="1589" spans="1:2" ht="13.8" x14ac:dyDescent="0.3">
      <c r="A1589" s="101"/>
      <c r="B1589" s="102"/>
    </row>
    <row r="1590" spans="1:2" ht="13.8" x14ac:dyDescent="0.3">
      <c r="A1590" s="101"/>
      <c r="B1590" s="102"/>
    </row>
    <row r="1591" spans="1:2" ht="13.8" x14ac:dyDescent="0.3">
      <c r="A1591" s="101"/>
      <c r="B1591" s="102"/>
    </row>
    <row r="1592" spans="1:2" ht="13.8" x14ac:dyDescent="0.3">
      <c r="A1592" s="101"/>
      <c r="B1592" s="102"/>
    </row>
    <row r="1593" spans="1:2" ht="13.8" x14ac:dyDescent="0.3">
      <c r="A1593" s="101"/>
      <c r="B1593" s="102"/>
    </row>
    <row r="1594" spans="1:2" ht="13.8" x14ac:dyDescent="0.3">
      <c r="A1594" s="101"/>
      <c r="B1594" s="102"/>
    </row>
    <row r="1595" spans="1:2" ht="13.8" x14ac:dyDescent="0.3">
      <c r="A1595" s="101"/>
      <c r="B1595" s="102"/>
    </row>
    <row r="1596" spans="1:2" ht="13.8" x14ac:dyDescent="0.3">
      <c r="A1596" s="101"/>
      <c r="B1596" s="102"/>
    </row>
    <row r="1597" spans="1:2" ht="13.8" x14ac:dyDescent="0.3">
      <c r="A1597" s="101"/>
      <c r="B1597" s="102"/>
    </row>
    <row r="1598" spans="1:2" ht="13.8" x14ac:dyDescent="0.3">
      <c r="A1598" s="101"/>
      <c r="B1598" s="102"/>
    </row>
    <row r="1599" spans="1:2" ht="13.8" x14ac:dyDescent="0.3">
      <c r="A1599" s="101"/>
      <c r="B1599" s="102"/>
    </row>
    <row r="1600" spans="1:2" ht="13.8" x14ac:dyDescent="0.3">
      <c r="A1600" s="101"/>
      <c r="B1600" s="102"/>
    </row>
    <row r="1601" spans="1:2" ht="13.8" x14ac:dyDescent="0.3">
      <c r="A1601" s="101"/>
      <c r="B1601" s="102"/>
    </row>
    <row r="1602" spans="1:2" ht="13.8" x14ac:dyDescent="0.3">
      <c r="A1602" s="101"/>
      <c r="B1602" s="102"/>
    </row>
    <row r="1603" spans="1:2" ht="13.8" x14ac:dyDescent="0.3">
      <c r="A1603" s="101"/>
      <c r="B1603" s="102"/>
    </row>
    <row r="1604" spans="1:2" ht="13.8" x14ac:dyDescent="0.3">
      <c r="A1604" s="101"/>
      <c r="B1604" s="102"/>
    </row>
    <row r="1605" spans="1:2" ht="13.8" x14ac:dyDescent="0.3">
      <c r="A1605" s="101"/>
      <c r="B1605" s="102"/>
    </row>
    <row r="1606" spans="1:2" ht="13.8" x14ac:dyDescent="0.3">
      <c r="A1606" s="101"/>
      <c r="B1606" s="102"/>
    </row>
    <row r="1607" spans="1:2" ht="13.8" x14ac:dyDescent="0.3">
      <c r="A1607" s="101"/>
      <c r="B1607" s="102"/>
    </row>
    <row r="1608" spans="1:2" ht="13.8" x14ac:dyDescent="0.3">
      <c r="A1608" s="101"/>
      <c r="B1608" s="102"/>
    </row>
    <row r="1609" spans="1:2" ht="13.8" x14ac:dyDescent="0.3">
      <c r="A1609" s="101"/>
      <c r="B1609" s="102"/>
    </row>
    <row r="1610" spans="1:2" ht="13.8" x14ac:dyDescent="0.3">
      <c r="A1610" s="101"/>
      <c r="B1610" s="102"/>
    </row>
    <row r="1611" spans="1:2" ht="13.8" x14ac:dyDescent="0.3">
      <c r="A1611" s="101"/>
      <c r="B1611" s="102"/>
    </row>
    <row r="1612" spans="1:2" ht="13.8" x14ac:dyDescent="0.3">
      <c r="A1612" s="101"/>
      <c r="B1612" s="102"/>
    </row>
    <row r="1613" spans="1:2" ht="13.8" x14ac:dyDescent="0.3">
      <c r="A1613" s="101"/>
      <c r="B1613" s="102"/>
    </row>
    <row r="1614" spans="1:2" ht="13.8" x14ac:dyDescent="0.3">
      <c r="A1614" s="101"/>
      <c r="B1614" s="102"/>
    </row>
    <row r="1615" spans="1:2" ht="13.8" x14ac:dyDescent="0.3">
      <c r="A1615" s="101"/>
      <c r="B1615" s="102"/>
    </row>
    <row r="1616" spans="1:2" ht="13.8" x14ac:dyDescent="0.3">
      <c r="A1616" s="101"/>
      <c r="B1616" s="102"/>
    </row>
    <row r="1617" spans="1:2" ht="13.8" x14ac:dyDescent="0.3">
      <c r="A1617" s="101"/>
      <c r="B1617" s="102"/>
    </row>
    <row r="1618" spans="1:2" ht="13.8" x14ac:dyDescent="0.3">
      <c r="A1618" s="101"/>
      <c r="B1618" s="102"/>
    </row>
    <row r="1619" spans="1:2" ht="13.8" x14ac:dyDescent="0.3">
      <c r="A1619" s="101"/>
      <c r="B1619" s="102"/>
    </row>
    <row r="1620" spans="1:2" ht="13.8" x14ac:dyDescent="0.3">
      <c r="A1620" s="101"/>
      <c r="B1620" s="102"/>
    </row>
    <row r="1621" spans="1:2" ht="13.8" x14ac:dyDescent="0.3">
      <c r="A1621" s="101"/>
      <c r="B1621" s="102"/>
    </row>
    <row r="1622" spans="1:2" ht="13.8" x14ac:dyDescent="0.3">
      <c r="A1622" s="101"/>
      <c r="B1622" s="102"/>
    </row>
    <row r="1623" spans="1:2" ht="13.8" x14ac:dyDescent="0.3">
      <c r="A1623" s="101"/>
      <c r="B1623" s="102"/>
    </row>
    <row r="1624" spans="1:2" ht="13.8" x14ac:dyDescent="0.3">
      <c r="A1624" s="101"/>
      <c r="B1624" s="102"/>
    </row>
    <row r="1625" spans="1:2" ht="13.8" x14ac:dyDescent="0.3">
      <c r="A1625" s="101"/>
      <c r="B1625" s="102"/>
    </row>
    <row r="1626" spans="1:2" ht="13.8" x14ac:dyDescent="0.3">
      <c r="A1626" s="101"/>
      <c r="B1626" s="102"/>
    </row>
    <row r="1627" spans="1:2" ht="13.8" x14ac:dyDescent="0.3">
      <c r="A1627" s="101"/>
      <c r="B1627" s="102"/>
    </row>
    <row r="1628" spans="1:2" ht="13.8" x14ac:dyDescent="0.3">
      <c r="A1628" s="101"/>
      <c r="B1628" s="102"/>
    </row>
    <row r="1629" spans="1:2" ht="13.8" x14ac:dyDescent="0.3">
      <c r="A1629" s="101"/>
      <c r="B1629" s="102"/>
    </row>
    <row r="1630" spans="1:2" ht="13.8" x14ac:dyDescent="0.3">
      <c r="A1630" s="101"/>
      <c r="B1630" s="102"/>
    </row>
    <row r="1631" spans="1:2" ht="13.8" x14ac:dyDescent="0.3">
      <c r="A1631" s="101"/>
      <c r="B1631" s="102"/>
    </row>
    <row r="1632" spans="1:2" ht="13.8" x14ac:dyDescent="0.3">
      <c r="A1632" s="101"/>
      <c r="B1632" s="102"/>
    </row>
    <row r="1633" spans="1:2" ht="13.8" x14ac:dyDescent="0.3">
      <c r="A1633" s="101"/>
      <c r="B1633" s="102"/>
    </row>
    <row r="1634" spans="1:2" ht="13.8" x14ac:dyDescent="0.3">
      <c r="A1634" s="101"/>
      <c r="B1634" s="102"/>
    </row>
    <row r="1635" spans="1:2" ht="13.8" x14ac:dyDescent="0.3">
      <c r="A1635" s="101"/>
      <c r="B1635" s="102"/>
    </row>
    <row r="1636" spans="1:2" ht="13.8" x14ac:dyDescent="0.3">
      <c r="A1636" s="101"/>
      <c r="B1636" s="102"/>
    </row>
    <row r="1637" spans="1:2" ht="13.8" x14ac:dyDescent="0.3">
      <c r="A1637" s="101"/>
      <c r="B1637" s="102"/>
    </row>
    <row r="1638" spans="1:2" ht="13.8" x14ac:dyDescent="0.3">
      <c r="A1638" s="101"/>
      <c r="B1638" s="102"/>
    </row>
    <row r="1639" spans="1:2" ht="13.8" x14ac:dyDescent="0.3">
      <c r="A1639" s="101"/>
      <c r="B1639" s="102"/>
    </row>
    <row r="1640" spans="1:2" ht="13.8" x14ac:dyDescent="0.3">
      <c r="A1640" s="101"/>
      <c r="B1640" s="102"/>
    </row>
    <row r="1641" spans="1:2" ht="13.8" x14ac:dyDescent="0.3">
      <c r="A1641" s="101"/>
      <c r="B1641" s="102"/>
    </row>
    <row r="1642" spans="1:2" ht="13.8" x14ac:dyDescent="0.3">
      <c r="A1642" s="101"/>
      <c r="B1642" s="102"/>
    </row>
    <row r="1643" spans="1:2" ht="13.8" x14ac:dyDescent="0.3">
      <c r="A1643" s="101"/>
      <c r="B1643" s="102"/>
    </row>
    <row r="1644" spans="1:2" ht="13.8" x14ac:dyDescent="0.3">
      <c r="A1644" s="101"/>
      <c r="B1644" s="102"/>
    </row>
    <row r="1645" spans="1:2" ht="13.8" x14ac:dyDescent="0.3">
      <c r="A1645" s="101"/>
      <c r="B1645" s="102"/>
    </row>
    <row r="1646" spans="1:2" ht="13.8" x14ac:dyDescent="0.3">
      <c r="A1646" s="101"/>
      <c r="B1646" s="102"/>
    </row>
    <row r="1647" spans="1:2" ht="13.8" x14ac:dyDescent="0.3">
      <c r="A1647" s="101"/>
      <c r="B1647" s="102"/>
    </row>
    <row r="1648" spans="1:2" ht="13.8" x14ac:dyDescent="0.3">
      <c r="A1648" s="101"/>
      <c r="B1648" s="102"/>
    </row>
    <row r="1649" spans="1:2" ht="13.8" x14ac:dyDescent="0.3">
      <c r="A1649" s="101"/>
      <c r="B1649" s="102"/>
    </row>
    <row r="1650" spans="1:2" ht="13.8" x14ac:dyDescent="0.3">
      <c r="A1650" s="101"/>
      <c r="B1650" s="102"/>
    </row>
    <row r="1651" spans="1:2" ht="13.8" x14ac:dyDescent="0.3">
      <c r="A1651" s="101"/>
      <c r="B1651" s="102"/>
    </row>
    <row r="1652" spans="1:2" ht="13.8" x14ac:dyDescent="0.3">
      <c r="A1652" s="101"/>
      <c r="B1652" s="102"/>
    </row>
    <row r="1653" spans="1:2" ht="13.8" x14ac:dyDescent="0.3">
      <c r="A1653" s="101"/>
      <c r="B1653" s="102"/>
    </row>
    <row r="1654" spans="1:2" ht="13.8" x14ac:dyDescent="0.3">
      <c r="A1654" s="101"/>
      <c r="B1654" s="102"/>
    </row>
    <row r="1655" spans="1:2" ht="13.8" x14ac:dyDescent="0.3">
      <c r="A1655" s="101"/>
      <c r="B1655" s="102"/>
    </row>
    <row r="1656" spans="1:2" ht="13.8" x14ac:dyDescent="0.3">
      <c r="A1656" s="101"/>
      <c r="B1656" s="102"/>
    </row>
    <row r="1657" spans="1:2" ht="13.8" x14ac:dyDescent="0.3">
      <c r="A1657" s="101"/>
      <c r="B1657" s="102"/>
    </row>
    <row r="1658" spans="1:2" ht="13.8" x14ac:dyDescent="0.3">
      <c r="A1658" s="101"/>
      <c r="B1658" s="102"/>
    </row>
    <row r="1659" spans="1:2" ht="13.8" x14ac:dyDescent="0.3">
      <c r="A1659" s="101"/>
      <c r="B1659" s="102"/>
    </row>
    <row r="1660" spans="1:2" ht="13.8" x14ac:dyDescent="0.3">
      <c r="A1660" s="101"/>
      <c r="B1660" s="102"/>
    </row>
    <row r="1661" spans="1:2" ht="13.8" x14ac:dyDescent="0.3">
      <c r="A1661" s="101"/>
      <c r="B1661" s="102"/>
    </row>
    <row r="1662" spans="1:2" ht="13.8" x14ac:dyDescent="0.3">
      <c r="A1662" s="101"/>
      <c r="B1662" s="102"/>
    </row>
    <row r="1663" spans="1:2" ht="13.8" x14ac:dyDescent="0.3">
      <c r="A1663" s="101"/>
      <c r="B1663" s="102"/>
    </row>
    <row r="1664" spans="1:2" ht="13.8" x14ac:dyDescent="0.3">
      <c r="A1664" s="101"/>
      <c r="B1664" s="102"/>
    </row>
    <row r="1665" spans="1:2" ht="13.8" x14ac:dyDescent="0.3">
      <c r="A1665" s="101"/>
      <c r="B1665" s="102"/>
    </row>
    <row r="1666" spans="1:2" ht="13.8" x14ac:dyDescent="0.3">
      <c r="A1666" s="101"/>
      <c r="B1666" s="102"/>
    </row>
    <row r="1667" spans="1:2" ht="13.8" x14ac:dyDescent="0.3">
      <c r="A1667" s="101"/>
      <c r="B1667" s="102"/>
    </row>
    <row r="1668" spans="1:2" ht="13.8" x14ac:dyDescent="0.3">
      <c r="A1668" s="101"/>
      <c r="B1668" s="102"/>
    </row>
    <row r="1669" spans="1:2" ht="13.8" x14ac:dyDescent="0.3">
      <c r="A1669" s="101"/>
      <c r="B1669" s="102"/>
    </row>
    <row r="1670" spans="1:2" ht="13.8" x14ac:dyDescent="0.3">
      <c r="A1670" s="101"/>
      <c r="B1670" s="102"/>
    </row>
    <row r="1671" spans="1:2" ht="13.8" x14ac:dyDescent="0.3">
      <c r="A1671" s="101"/>
      <c r="B1671" s="102"/>
    </row>
    <row r="1672" spans="1:2" ht="13.8" x14ac:dyDescent="0.3">
      <c r="A1672" s="101"/>
      <c r="B1672" s="102"/>
    </row>
    <row r="1673" spans="1:2" ht="13.8" x14ac:dyDescent="0.3">
      <c r="A1673" s="101"/>
      <c r="B1673" s="102"/>
    </row>
    <row r="1674" spans="1:2" ht="13.8" x14ac:dyDescent="0.3">
      <c r="A1674" s="101"/>
      <c r="B1674" s="102"/>
    </row>
    <row r="1675" spans="1:2" ht="13.8" x14ac:dyDescent="0.3">
      <c r="A1675" s="101"/>
      <c r="B1675" s="102"/>
    </row>
    <row r="1676" spans="1:2" ht="13.8" x14ac:dyDescent="0.3">
      <c r="A1676" s="101"/>
      <c r="B1676" s="102"/>
    </row>
    <row r="1677" spans="1:2" ht="13.8" x14ac:dyDescent="0.3">
      <c r="A1677" s="101"/>
      <c r="B1677" s="102"/>
    </row>
    <row r="1678" spans="1:2" ht="13.8" x14ac:dyDescent="0.3">
      <c r="A1678" s="101"/>
      <c r="B1678" s="102"/>
    </row>
    <row r="1679" spans="1:2" ht="13.8" x14ac:dyDescent="0.3">
      <c r="A1679" s="101"/>
      <c r="B1679" s="102"/>
    </row>
    <row r="1680" spans="1:2" ht="13.8" x14ac:dyDescent="0.3">
      <c r="A1680" s="101"/>
      <c r="B1680" s="102"/>
    </row>
    <row r="1681" spans="1:2" ht="13.8" x14ac:dyDescent="0.3">
      <c r="A1681" s="101"/>
      <c r="B1681" s="102"/>
    </row>
    <row r="1682" spans="1:2" ht="13.8" x14ac:dyDescent="0.3">
      <c r="A1682" s="101"/>
      <c r="B1682" s="102"/>
    </row>
    <row r="1683" spans="1:2" ht="13.8" x14ac:dyDescent="0.3">
      <c r="A1683" s="101"/>
      <c r="B1683" s="102"/>
    </row>
    <row r="1684" spans="1:2" ht="13.8" x14ac:dyDescent="0.3">
      <c r="A1684" s="101"/>
      <c r="B1684" s="102"/>
    </row>
    <row r="1685" spans="1:2" ht="13.8" x14ac:dyDescent="0.3">
      <c r="A1685" s="101"/>
      <c r="B1685" s="102"/>
    </row>
    <row r="1686" spans="1:2" ht="13.8" x14ac:dyDescent="0.3">
      <c r="A1686" s="101"/>
      <c r="B1686" s="102"/>
    </row>
    <row r="1687" spans="1:2" ht="13.8" x14ac:dyDescent="0.3">
      <c r="A1687" s="101"/>
      <c r="B1687" s="102"/>
    </row>
    <row r="1688" spans="1:2" ht="13.8" x14ac:dyDescent="0.3">
      <c r="A1688" s="101"/>
      <c r="B1688" s="102"/>
    </row>
    <row r="1689" spans="1:2" ht="13.8" x14ac:dyDescent="0.3">
      <c r="A1689" s="101"/>
      <c r="B1689" s="102"/>
    </row>
    <row r="1690" spans="1:2" ht="13.8" x14ac:dyDescent="0.3">
      <c r="A1690" s="101"/>
      <c r="B1690" s="102"/>
    </row>
    <row r="1691" spans="1:2" ht="13.8" x14ac:dyDescent="0.3">
      <c r="A1691" s="101"/>
      <c r="B1691" s="102"/>
    </row>
    <row r="1692" spans="1:2" ht="13.8" x14ac:dyDescent="0.3">
      <c r="A1692" s="101"/>
      <c r="B1692" s="102"/>
    </row>
    <row r="1693" spans="1:2" ht="13.8" x14ac:dyDescent="0.3">
      <c r="A1693" s="101"/>
      <c r="B1693" s="102"/>
    </row>
    <row r="1694" spans="1:2" ht="13.8" x14ac:dyDescent="0.3">
      <c r="A1694" s="101"/>
      <c r="B1694" s="102"/>
    </row>
    <row r="1695" spans="1:2" ht="13.8" x14ac:dyDescent="0.3">
      <c r="A1695" s="101"/>
      <c r="B1695" s="102"/>
    </row>
    <row r="1696" spans="1:2" ht="13.8" x14ac:dyDescent="0.3">
      <c r="A1696" s="101"/>
      <c r="B1696" s="102"/>
    </row>
    <row r="1697" spans="1:2" ht="13.8" x14ac:dyDescent="0.3">
      <c r="A1697" s="101"/>
      <c r="B1697" s="102"/>
    </row>
    <row r="1698" spans="1:2" ht="13.8" x14ac:dyDescent="0.3">
      <c r="A1698" s="101"/>
      <c r="B1698" s="102"/>
    </row>
    <row r="1699" spans="1:2" ht="13.8" x14ac:dyDescent="0.3">
      <c r="A1699" s="101"/>
      <c r="B1699" s="102"/>
    </row>
    <row r="1700" spans="1:2" ht="13.8" x14ac:dyDescent="0.3">
      <c r="A1700" s="101"/>
      <c r="B1700" s="102"/>
    </row>
    <row r="1701" spans="1:2" ht="13.8" x14ac:dyDescent="0.3">
      <c r="A1701" s="101"/>
      <c r="B1701" s="102"/>
    </row>
    <row r="1702" spans="1:2" ht="13.8" x14ac:dyDescent="0.3">
      <c r="A1702" s="101"/>
      <c r="B1702" s="102"/>
    </row>
    <row r="1703" spans="1:2" ht="13.8" x14ac:dyDescent="0.3">
      <c r="A1703" s="101"/>
      <c r="B1703" s="102"/>
    </row>
    <row r="1704" spans="1:2" ht="13.8" x14ac:dyDescent="0.3">
      <c r="A1704" s="101"/>
      <c r="B1704" s="102"/>
    </row>
    <row r="1705" spans="1:2" ht="13.8" x14ac:dyDescent="0.3">
      <c r="A1705" s="101"/>
      <c r="B1705" s="102"/>
    </row>
    <row r="1706" spans="1:2" ht="13.8" x14ac:dyDescent="0.3">
      <c r="A1706" s="101"/>
      <c r="B1706" s="102"/>
    </row>
    <row r="1707" spans="1:2" ht="13.8" x14ac:dyDescent="0.3">
      <c r="A1707" s="101"/>
      <c r="B1707" s="102"/>
    </row>
    <row r="1708" spans="1:2" ht="13.8" x14ac:dyDescent="0.3">
      <c r="A1708" s="101"/>
      <c r="B1708" s="102"/>
    </row>
    <row r="1709" spans="1:2" ht="13.8" x14ac:dyDescent="0.3">
      <c r="A1709" s="101"/>
      <c r="B1709" s="102"/>
    </row>
    <row r="1710" spans="1:2" ht="13.8" x14ac:dyDescent="0.3">
      <c r="A1710" s="101"/>
      <c r="B1710" s="102"/>
    </row>
    <row r="1711" spans="1:2" ht="13.8" x14ac:dyDescent="0.3">
      <c r="A1711" s="101"/>
      <c r="B1711" s="102"/>
    </row>
    <row r="1712" spans="1:2" ht="13.8" x14ac:dyDescent="0.3">
      <c r="A1712" s="101"/>
      <c r="B1712" s="102"/>
    </row>
    <row r="1713" spans="1:2" ht="13.8" x14ac:dyDescent="0.3">
      <c r="A1713" s="101"/>
      <c r="B1713" s="102"/>
    </row>
    <row r="1714" spans="1:2" ht="13.8" x14ac:dyDescent="0.3">
      <c r="A1714" s="101"/>
      <c r="B1714" s="102"/>
    </row>
    <row r="1715" spans="1:2" ht="13.8" x14ac:dyDescent="0.3">
      <c r="A1715" s="101"/>
      <c r="B1715" s="102"/>
    </row>
    <row r="1716" spans="1:2" ht="13.8" x14ac:dyDescent="0.3">
      <c r="A1716" s="101"/>
      <c r="B1716" s="102"/>
    </row>
    <row r="1717" spans="1:2" ht="13.8" x14ac:dyDescent="0.3">
      <c r="A1717" s="101"/>
      <c r="B1717" s="102"/>
    </row>
    <row r="1718" spans="1:2" ht="13.8" x14ac:dyDescent="0.3">
      <c r="A1718" s="101"/>
      <c r="B1718" s="102"/>
    </row>
    <row r="1719" spans="1:2" ht="13.8" x14ac:dyDescent="0.3">
      <c r="A1719" s="101"/>
      <c r="B1719" s="102"/>
    </row>
    <row r="1720" spans="1:2" ht="13.8" x14ac:dyDescent="0.3">
      <c r="A1720" s="101"/>
      <c r="B1720" s="102"/>
    </row>
    <row r="1721" spans="1:2" ht="13.8" x14ac:dyDescent="0.3">
      <c r="A1721" s="101"/>
      <c r="B1721" s="102"/>
    </row>
    <row r="1722" spans="1:2" ht="13.8" x14ac:dyDescent="0.3">
      <c r="A1722" s="101"/>
      <c r="B1722" s="102"/>
    </row>
    <row r="1723" spans="1:2" ht="13.8" x14ac:dyDescent="0.3">
      <c r="A1723" s="101"/>
      <c r="B1723" s="102"/>
    </row>
    <row r="1724" spans="1:2" ht="13.8" x14ac:dyDescent="0.3">
      <c r="A1724" s="101"/>
      <c r="B1724" s="102"/>
    </row>
    <row r="1725" spans="1:2" ht="13.8" x14ac:dyDescent="0.3">
      <c r="A1725" s="101"/>
      <c r="B1725" s="102"/>
    </row>
    <row r="1726" spans="1:2" ht="13.8" x14ac:dyDescent="0.3">
      <c r="A1726" s="101"/>
      <c r="B1726" s="102"/>
    </row>
    <row r="1727" spans="1:2" ht="13.8" x14ac:dyDescent="0.3">
      <c r="A1727" s="101"/>
      <c r="B1727" s="102"/>
    </row>
    <row r="1728" spans="1:2" ht="13.8" x14ac:dyDescent="0.3">
      <c r="A1728" s="101"/>
      <c r="B1728" s="102"/>
    </row>
    <row r="1729" spans="1:2" ht="13.8" x14ac:dyDescent="0.3">
      <c r="A1729" s="101"/>
      <c r="B1729" s="102"/>
    </row>
    <row r="1730" spans="1:2" ht="13.8" x14ac:dyDescent="0.3">
      <c r="A1730" s="101"/>
      <c r="B1730" s="102"/>
    </row>
    <row r="1731" spans="1:2" ht="13.8" x14ac:dyDescent="0.3">
      <c r="A1731" s="101"/>
      <c r="B1731" s="102"/>
    </row>
    <row r="1732" spans="1:2" ht="13.8" x14ac:dyDescent="0.3">
      <c r="A1732" s="101"/>
      <c r="B1732" s="102"/>
    </row>
    <row r="1733" spans="1:2" ht="13.8" x14ac:dyDescent="0.3">
      <c r="A1733" s="101"/>
      <c r="B1733" s="102"/>
    </row>
    <row r="1734" spans="1:2" ht="13.8" x14ac:dyDescent="0.3">
      <c r="A1734" s="101"/>
      <c r="B1734" s="102"/>
    </row>
    <row r="1735" spans="1:2" ht="13.8" x14ac:dyDescent="0.3">
      <c r="A1735" s="101"/>
      <c r="B1735" s="102"/>
    </row>
    <row r="1736" spans="1:2" ht="13.8" x14ac:dyDescent="0.3">
      <c r="A1736" s="101"/>
      <c r="B1736" s="102"/>
    </row>
    <row r="1737" spans="1:2" ht="13.8" x14ac:dyDescent="0.3">
      <c r="A1737" s="101"/>
      <c r="B1737" s="102"/>
    </row>
    <row r="1738" spans="1:2" ht="13.8" x14ac:dyDescent="0.3">
      <c r="A1738" s="101"/>
      <c r="B1738" s="102"/>
    </row>
    <row r="1739" spans="1:2" ht="13.8" x14ac:dyDescent="0.3">
      <c r="A1739" s="101"/>
      <c r="B1739" s="102"/>
    </row>
    <row r="1740" spans="1:2" ht="13.8" x14ac:dyDescent="0.3">
      <c r="A1740" s="101"/>
      <c r="B1740" s="102"/>
    </row>
    <row r="1741" spans="1:2" ht="13.8" x14ac:dyDescent="0.3">
      <c r="A1741" s="101"/>
      <c r="B1741" s="102"/>
    </row>
    <row r="1742" spans="1:2" ht="13.8" x14ac:dyDescent="0.3">
      <c r="A1742" s="101"/>
      <c r="B1742" s="102"/>
    </row>
    <row r="1743" spans="1:2" ht="13.8" x14ac:dyDescent="0.3">
      <c r="A1743" s="101"/>
      <c r="B1743" s="102"/>
    </row>
    <row r="1744" spans="1:2" ht="13.8" x14ac:dyDescent="0.3">
      <c r="A1744" s="101"/>
      <c r="B1744" s="102"/>
    </row>
    <row r="1745" spans="1:2" ht="13.8" x14ac:dyDescent="0.3">
      <c r="A1745" s="101"/>
      <c r="B1745" s="102"/>
    </row>
    <row r="1746" spans="1:2" ht="13.8" x14ac:dyDescent="0.3">
      <c r="A1746" s="101"/>
      <c r="B1746" s="102"/>
    </row>
    <row r="1747" spans="1:2" ht="13.8" x14ac:dyDescent="0.3">
      <c r="A1747" s="101"/>
      <c r="B1747" s="102"/>
    </row>
    <row r="1748" spans="1:2" ht="13.8" x14ac:dyDescent="0.3">
      <c r="A1748" s="101"/>
      <c r="B1748" s="102"/>
    </row>
    <row r="1749" spans="1:2" ht="13.8" x14ac:dyDescent="0.3">
      <c r="A1749" s="101"/>
      <c r="B1749" s="102"/>
    </row>
    <row r="1750" spans="1:2" ht="13.8" x14ac:dyDescent="0.3">
      <c r="A1750" s="101"/>
      <c r="B1750" s="102"/>
    </row>
    <row r="1751" spans="1:2" ht="13.8" x14ac:dyDescent="0.3">
      <c r="A1751" s="101"/>
      <c r="B1751" s="102"/>
    </row>
    <row r="1752" spans="1:2" ht="13.8" x14ac:dyDescent="0.3">
      <c r="A1752" s="101"/>
      <c r="B1752" s="102"/>
    </row>
    <row r="1753" spans="1:2" ht="13.8" x14ac:dyDescent="0.3">
      <c r="A1753" s="101"/>
      <c r="B1753" s="102"/>
    </row>
    <row r="1754" spans="1:2" ht="13.8" x14ac:dyDescent="0.3">
      <c r="A1754" s="101"/>
      <c r="B1754" s="102"/>
    </row>
    <row r="1755" spans="1:2" ht="13.8" x14ac:dyDescent="0.3">
      <c r="A1755" s="101"/>
      <c r="B1755" s="102"/>
    </row>
    <row r="1756" spans="1:2" ht="13.8" x14ac:dyDescent="0.3">
      <c r="A1756" s="101"/>
      <c r="B1756" s="102"/>
    </row>
    <row r="1757" spans="1:2" ht="13.8" x14ac:dyDescent="0.3">
      <c r="A1757" s="101"/>
      <c r="B1757" s="102"/>
    </row>
    <row r="1758" spans="1:2" ht="13.8" x14ac:dyDescent="0.3">
      <c r="A1758" s="101"/>
      <c r="B1758" s="102"/>
    </row>
    <row r="1759" spans="1:2" ht="13.8" x14ac:dyDescent="0.3">
      <c r="A1759" s="101"/>
      <c r="B1759" s="102"/>
    </row>
    <row r="1760" spans="1:2" ht="13.8" x14ac:dyDescent="0.3">
      <c r="A1760" s="101"/>
      <c r="B1760" s="102"/>
    </row>
    <row r="1761" spans="1:2" ht="13.8" x14ac:dyDescent="0.3">
      <c r="A1761" s="101"/>
      <c r="B1761" s="102"/>
    </row>
    <row r="1762" spans="1:2" ht="13.8" x14ac:dyDescent="0.3">
      <c r="A1762" s="101"/>
      <c r="B1762" s="102"/>
    </row>
    <row r="1763" spans="1:2" ht="13.8" x14ac:dyDescent="0.3">
      <c r="A1763" s="101"/>
      <c r="B1763" s="102"/>
    </row>
    <row r="1764" spans="1:2" ht="13.8" x14ac:dyDescent="0.3">
      <c r="A1764" s="101"/>
      <c r="B1764" s="102"/>
    </row>
    <row r="1765" spans="1:2" ht="13.8" x14ac:dyDescent="0.3">
      <c r="A1765" s="101"/>
      <c r="B1765" s="102"/>
    </row>
    <row r="1766" spans="1:2" ht="13.8" x14ac:dyDescent="0.3">
      <c r="A1766" s="101"/>
      <c r="B1766" s="102"/>
    </row>
    <row r="1767" spans="1:2" ht="13.8" x14ac:dyDescent="0.3">
      <c r="A1767" s="101"/>
      <c r="B1767" s="102"/>
    </row>
    <row r="1768" spans="1:2" ht="13.8" x14ac:dyDescent="0.3">
      <c r="A1768" s="101"/>
      <c r="B1768" s="102"/>
    </row>
    <row r="1769" spans="1:2" ht="13.8" x14ac:dyDescent="0.3">
      <c r="A1769" s="101"/>
      <c r="B1769" s="102"/>
    </row>
    <row r="1770" spans="1:2" ht="13.8" x14ac:dyDescent="0.3">
      <c r="A1770" s="101"/>
      <c r="B1770" s="102"/>
    </row>
    <row r="1771" spans="1:2" ht="13.8" x14ac:dyDescent="0.3">
      <c r="A1771" s="101"/>
      <c r="B1771" s="102"/>
    </row>
    <row r="1772" spans="1:2" ht="13.8" x14ac:dyDescent="0.3">
      <c r="A1772" s="101"/>
      <c r="B1772" s="102"/>
    </row>
    <row r="1773" spans="1:2" ht="13.8" x14ac:dyDescent="0.3">
      <c r="A1773" s="101"/>
      <c r="B1773" s="102"/>
    </row>
    <row r="1774" spans="1:2" ht="13.8" x14ac:dyDescent="0.3">
      <c r="A1774" s="101"/>
      <c r="B1774" s="102"/>
    </row>
    <row r="1775" spans="1:2" ht="13.8" x14ac:dyDescent="0.3">
      <c r="A1775" s="101"/>
      <c r="B1775" s="102"/>
    </row>
    <row r="1776" spans="1:2" ht="13.8" x14ac:dyDescent="0.3">
      <c r="A1776" s="101"/>
      <c r="B1776" s="102"/>
    </row>
    <row r="1777" spans="1:2" ht="13.8" x14ac:dyDescent="0.3">
      <c r="A1777" s="101"/>
      <c r="B1777" s="102"/>
    </row>
    <row r="1778" spans="1:2" ht="13.8" x14ac:dyDescent="0.3">
      <c r="A1778" s="101"/>
      <c r="B1778" s="102"/>
    </row>
    <row r="1779" spans="1:2" ht="13.8" x14ac:dyDescent="0.3">
      <c r="A1779" s="101"/>
      <c r="B1779" s="102"/>
    </row>
    <row r="1780" spans="1:2" ht="13.8" x14ac:dyDescent="0.3">
      <c r="A1780" s="101"/>
      <c r="B1780" s="102"/>
    </row>
    <row r="1781" spans="1:2" ht="13.8" x14ac:dyDescent="0.3">
      <c r="A1781" s="101"/>
      <c r="B1781" s="102"/>
    </row>
    <row r="1782" spans="1:2" ht="13.8" x14ac:dyDescent="0.3">
      <c r="A1782" s="101"/>
      <c r="B1782" s="102"/>
    </row>
    <row r="1783" spans="1:2" ht="13.8" x14ac:dyDescent="0.3">
      <c r="A1783" s="101"/>
      <c r="B1783" s="102"/>
    </row>
    <row r="1784" spans="1:2" ht="13.8" x14ac:dyDescent="0.3">
      <c r="A1784" s="101"/>
      <c r="B1784" s="102"/>
    </row>
    <row r="1785" spans="1:2" ht="13.8" x14ac:dyDescent="0.3">
      <c r="A1785" s="101"/>
      <c r="B1785" s="102"/>
    </row>
    <row r="1786" spans="1:2" ht="13.8" x14ac:dyDescent="0.3">
      <c r="A1786" s="101"/>
      <c r="B1786" s="102"/>
    </row>
    <row r="1787" spans="1:2" ht="13.8" x14ac:dyDescent="0.3">
      <c r="A1787" s="101"/>
      <c r="B1787" s="102"/>
    </row>
    <row r="1788" spans="1:2" ht="13.8" x14ac:dyDescent="0.3">
      <c r="A1788" s="101"/>
      <c r="B1788" s="102"/>
    </row>
    <row r="1789" spans="1:2" ht="13.8" x14ac:dyDescent="0.3">
      <c r="A1789" s="101"/>
      <c r="B1789" s="102"/>
    </row>
    <row r="1790" spans="1:2" ht="13.8" x14ac:dyDescent="0.3">
      <c r="A1790" s="101"/>
      <c r="B1790" s="102"/>
    </row>
    <row r="1791" spans="1:2" ht="13.8" x14ac:dyDescent="0.3">
      <c r="A1791" s="101"/>
      <c r="B1791" s="102"/>
    </row>
    <row r="1792" spans="1:2" ht="13.8" x14ac:dyDescent="0.3">
      <c r="A1792" s="101"/>
      <c r="B1792" s="102"/>
    </row>
    <row r="1793" spans="1:2" ht="13.8" x14ac:dyDescent="0.3">
      <c r="A1793" s="101"/>
      <c r="B1793" s="102"/>
    </row>
    <row r="1794" spans="1:2" ht="13.8" x14ac:dyDescent="0.3">
      <c r="A1794" s="101"/>
      <c r="B1794" s="102"/>
    </row>
    <row r="1795" spans="1:2" ht="13.8" x14ac:dyDescent="0.3">
      <c r="A1795" s="101"/>
      <c r="B1795" s="102"/>
    </row>
    <row r="1796" spans="1:2" ht="13.8" x14ac:dyDescent="0.3">
      <c r="A1796" s="101"/>
      <c r="B1796" s="102"/>
    </row>
    <row r="1797" spans="1:2" ht="13.8" x14ac:dyDescent="0.3">
      <c r="A1797" s="101"/>
      <c r="B1797" s="102"/>
    </row>
    <row r="1798" spans="1:2" ht="13.8" x14ac:dyDescent="0.3">
      <c r="A1798" s="101"/>
      <c r="B1798" s="102"/>
    </row>
    <row r="1799" spans="1:2" ht="13.8" x14ac:dyDescent="0.3">
      <c r="A1799" s="101"/>
      <c r="B1799" s="102"/>
    </row>
    <row r="1800" spans="1:2" ht="13.8" x14ac:dyDescent="0.3">
      <c r="A1800" s="101"/>
      <c r="B1800" s="102"/>
    </row>
    <row r="1801" spans="1:2" ht="13.8" x14ac:dyDescent="0.3">
      <c r="A1801" s="101"/>
      <c r="B1801" s="102"/>
    </row>
    <row r="1802" spans="1:2" ht="13.8" x14ac:dyDescent="0.3">
      <c r="A1802" s="101"/>
      <c r="B1802" s="102"/>
    </row>
    <row r="1803" spans="1:2" ht="13.8" x14ac:dyDescent="0.3">
      <c r="A1803" s="101"/>
      <c r="B1803" s="102"/>
    </row>
    <row r="1804" spans="1:2" ht="13.8" x14ac:dyDescent="0.3">
      <c r="A1804" s="101"/>
      <c r="B1804" s="102"/>
    </row>
    <row r="1805" spans="1:2" ht="13.8" x14ac:dyDescent="0.3">
      <c r="A1805" s="101"/>
      <c r="B1805" s="102"/>
    </row>
    <row r="1806" spans="1:2" ht="13.8" x14ac:dyDescent="0.3">
      <c r="A1806" s="101"/>
      <c r="B1806" s="102"/>
    </row>
    <row r="1807" spans="1:2" ht="13.8" x14ac:dyDescent="0.3">
      <c r="A1807" s="101"/>
      <c r="B1807" s="102"/>
    </row>
    <row r="1808" spans="1:2" ht="13.8" x14ac:dyDescent="0.3">
      <c r="A1808" s="101"/>
      <c r="B1808" s="102"/>
    </row>
    <row r="1809" spans="1:2" ht="13.8" x14ac:dyDescent="0.3">
      <c r="A1809" s="101"/>
      <c r="B1809" s="102"/>
    </row>
    <row r="1810" spans="1:2" ht="13.8" x14ac:dyDescent="0.3">
      <c r="A1810" s="101"/>
      <c r="B1810" s="102"/>
    </row>
    <row r="1811" spans="1:2" ht="13.8" x14ac:dyDescent="0.3">
      <c r="A1811" s="101"/>
      <c r="B1811" s="102"/>
    </row>
    <row r="1812" spans="1:2" ht="13.8" x14ac:dyDescent="0.3">
      <c r="A1812" s="101"/>
      <c r="B1812" s="102"/>
    </row>
    <row r="1813" spans="1:2" ht="13.8" x14ac:dyDescent="0.3">
      <c r="A1813" s="101"/>
      <c r="B1813" s="102"/>
    </row>
    <row r="1814" spans="1:2" ht="13.8" x14ac:dyDescent="0.3">
      <c r="A1814" s="101"/>
      <c r="B1814" s="102"/>
    </row>
    <row r="1815" spans="1:2" ht="13.8" x14ac:dyDescent="0.3">
      <c r="A1815" s="101"/>
      <c r="B1815" s="102"/>
    </row>
    <row r="1816" spans="1:2" ht="13.8" x14ac:dyDescent="0.3">
      <c r="A1816" s="101"/>
      <c r="B1816" s="102"/>
    </row>
    <row r="1817" spans="1:2" ht="13.8" x14ac:dyDescent="0.3">
      <c r="A1817" s="101"/>
      <c r="B1817" s="102"/>
    </row>
    <row r="1818" spans="1:2" ht="13.8" x14ac:dyDescent="0.3">
      <c r="A1818" s="101"/>
      <c r="B1818" s="102"/>
    </row>
    <row r="1819" spans="1:2" ht="13.8" x14ac:dyDescent="0.3">
      <c r="A1819" s="101"/>
      <c r="B1819" s="102"/>
    </row>
    <row r="1820" spans="1:2" ht="13.8" x14ac:dyDescent="0.3">
      <c r="A1820" s="101"/>
      <c r="B1820" s="102"/>
    </row>
    <row r="1821" spans="1:2" ht="13.8" x14ac:dyDescent="0.3">
      <c r="A1821" s="101"/>
      <c r="B1821" s="102"/>
    </row>
    <row r="1822" spans="1:2" ht="13.8" x14ac:dyDescent="0.3">
      <c r="A1822" s="101"/>
      <c r="B1822" s="102"/>
    </row>
    <row r="1823" spans="1:2" ht="13.8" x14ac:dyDescent="0.3">
      <c r="A1823" s="101"/>
      <c r="B1823" s="102"/>
    </row>
    <row r="1824" spans="1:2" ht="13.8" x14ac:dyDescent="0.3">
      <c r="A1824" s="101"/>
      <c r="B1824" s="102"/>
    </row>
    <row r="1825" spans="1:2" ht="13.8" x14ac:dyDescent="0.3">
      <c r="A1825" s="101"/>
      <c r="B1825" s="102"/>
    </row>
    <row r="1826" spans="1:2" ht="13.8" x14ac:dyDescent="0.3">
      <c r="A1826" s="101"/>
      <c r="B1826" s="102"/>
    </row>
    <row r="1827" spans="1:2" ht="13.8" x14ac:dyDescent="0.3">
      <c r="A1827" s="101"/>
      <c r="B1827" s="102"/>
    </row>
    <row r="1828" spans="1:2" ht="13.8" x14ac:dyDescent="0.3">
      <c r="A1828" s="101"/>
      <c r="B1828" s="102"/>
    </row>
    <row r="1829" spans="1:2" ht="13.8" x14ac:dyDescent="0.3">
      <c r="A1829" s="101"/>
      <c r="B1829" s="102"/>
    </row>
    <row r="1830" spans="1:2" ht="13.8" x14ac:dyDescent="0.3">
      <c r="A1830" s="101"/>
      <c r="B1830" s="102"/>
    </row>
    <row r="1831" spans="1:2" ht="13.8" x14ac:dyDescent="0.3">
      <c r="A1831" s="101"/>
      <c r="B1831" s="102"/>
    </row>
    <row r="1832" spans="1:2" ht="13.8" x14ac:dyDescent="0.3">
      <c r="A1832" s="101"/>
      <c r="B1832" s="102"/>
    </row>
    <row r="1833" spans="1:2" ht="13.8" x14ac:dyDescent="0.3">
      <c r="A1833" s="101"/>
      <c r="B1833" s="102"/>
    </row>
    <row r="1834" spans="1:2" ht="13.8" x14ac:dyDescent="0.3">
      <c r="A1834" s="101"/>
      <c r="B1834" s="102"/>
    </row>
    <row r="1835" spans="1:2" ht="13.8" x14ac:dyDescent="0.3">
      <c r="A1835" s="101"/>
      <c r="B1835" s="102"/>
    </row>
    <row r="1836" spans="1:2" ht="13.8" x14ac:dyDescent="0.3">
      <c r="A1836" s="101"/>
      <c r="B1836" s="102"/>
    </row>
    <row r="1837" spans="1:2" ht="13.8" x14ac:dyDescent="0.3">
      <c r="A1837" s="101"/>
      <c r="B1837" s="102"/>
    </row>
    <row r="1838" spans="1:2" ht="13.8" x14ac:dyDescent="0.3">
      <c r="A1838" s="101"/>
      <c r="B1838" s="102"/>
    </row>
    <row r="1839" spans="1:2" ht="13.8" x14ac:dyDescent="0.3">
      <c r="A1839" s="101"/>
      <c r="B1839" s="102"/>
    </row>
    <row r="1840" spans="1:2" ht="13.8" x14ac:dyDescent="0.3">
      <c r="A1840" s="101"/>
      <c r="B1840" s="102"/>
    </row>
    <row r="1841" spans="1:2" ht="13.8" x14ac:dyDescent="0.3">
      <c r="A1841" s="101"/>
      <c r="B1841" s="102"/>
    </row>
    <row r="1842" spans="1:2" ht="13.8" x14ac:dyDescent="0.3">
      <c r="A1842" s="101"/>
      <c r="B1842" s="102"/>
    </row>
    <row r="1843" spans="1:2" ht="13.8" x14ac:dyDescent="0.3">
      <c r="A1843" s="101"/>
      <c r="B1843" s="102"/>
    </row>
    <row r="1844" spans="1:2" ht="13.8" x14ac:dyDescent="0.3">
      <c r="A1844" s="101"/>
      <c r="B1844" s="102"/>
    </row>
    <row r="1845" spans="1:2" ht="13.8" x14ac:dyDescent="0.3">
      <c r="A1845" s="101"/>
      <c r="B1845" s="102"/>
    </row>
    <row r="1846" spans="1:2" ht="13.8" x14ac:dyDescent="0.3">
      <c r="A1846" s="101"/>
      <c r="B1846" s="102"/>
    </row>
    <row r="1847" spans="1:2" ht="13.8" x14ac:dyDescent="0.3">
      <c r="A1847" s="101"/>
      <c r="B1847" s="102"/>
    </row>
    <row r="1848" spans="1:2" ht="13.8" x14ac:dyDescent="0.3">
      <c r="A1848" s="101"/>
      <c r="B1848" s="102"/>
    </row>
    <row r="1849" spans="1:2" ht="13.8" x14ac:dyDescent="0.3">
      <c r="A1849" s="101"/>
      <c r="B1849" s="102"/>
    </row>
    <row r="1850" spans="1:2" ht="13.8" x14ac:dyDescent="0.3">
      <c r="A1850" s="101"/>
      <c r="B1850" s="102"/>
    </row>
    <row r="1851" spans="1:2" ht="13.8" x14ac:dyDescent="0.3">
      <c r="A1851" s="101"/>
      <c r="B1851" s="102"/>
    </row>
    <row r="1852" spans="1:2" ht="13.8" x14ac:dyDescent="0.3">
      <c r="A1852" s="101"/>
      <c r="B1852" s="102"/>
    </row>
    <row r="1853" spans="1:2" ht="13.8" x14ac:dyDescent="0.3">
      <c r="A1853" s="101"/>
      <c r="B1853" s="102"/>
    </row>
    <row r="1854" spans="1:2" ht="13.8" x14ac:dyDescent="0.3">
      <c r="A1854" s="101"/>
      <c r="B1854" s="102"/>
    </row>
    <row r="1855" spans="1:2" ht="13.8" x14ac:dyDescent="0.3">
      <c r="A1855" s="101"/>
      <c r="B1855" s="102"/>
    </row>
    <row r="1856" spans="1:2" ht="13.8" x14ac:dyDescent="0.3">
      <c r="A1856" s="101"/>
      <c r="B1856" s="102"/>
    </row>
    <row r="1857" spans="1:2" ht="13.8" x14ac:dyDescent="0.3">
      <c r="A1857" s="101"/>
      <c r="B1857" s="102"/>
    </row>
    <row r="1858" spans="1:2" ht="13.8" x14ac:dyDescent="0.3">
      <c r="A1858" s="101"/>
      <c r="B1858" s="102"/>
    </row>
    <row r="1859" spans="1:2" ht="13.8" x14ac:dyDescent="0.3">
      <c r="A1859" s="101"/>
      <c r="B1859" s="102"/>
    </row>
    <row r="1860" spans="1:2" ht="13.8" x14ac:dyDescent="0.3">
      <c r="A1860" s="101"/>
      <c r="B1860" s="102"/>
    </row>
    <row r="1861" spans="1:2" ht="13.8" x14ac:dyDescent="0.3">
      <c r="A1861" s="101"/>
      <c r="B1861" s="102"/>
    </row>
    <row r="1862" spans="1:2" ht="13.8" x14ac:dyDescent="0.3">
      <c r="A1862" s="101"/>
      <c r="B1862" s="102"/>
    </row>
    <row r="1863" spans="1:2" ht="13.8" x14ac:dyDescent="0.3">
      <c r="A1863" s="101"/>
      <c r="B1863" s="102"/>
    </row>
    <row r="1864" spans="1:2" ht="13.8" x14ac:dyDescent="0.3">
      <c r="A1864" s="101"/>
      <c r="B1864" s="102"/>
    </row>
    <row r="1865" spans="1:2" ht="13.8" x14ac:dyDescent="0.3">
      <c r="A1865" s="101"/>
      <c r="B1865" s="102"/>
    </row>
    <row r="1866" spans="1:2" ht="13.8" x14ac:dyDescent="0.3">
      <c r="A1866" s="101"/>
      <c r="B1866" s="102"/>
    </row>
    <row r="1867" spans="1:2" ht="13.8" x14ac:dyDescent="0.3">
      <c r="A1867" s="101"/>
      <c r="B1867" s="102"/>
    </row>
    <row r="1868" spans="1:2" ht="13.8" x14ac:dyDescent="0.3">
      <c r="A1868" s="101"/>
      <c r="B1868" s="102"/>
    </row>
    <row r="1869" spans="1:2" ht="13.8" x14ac:dyDescent="0.3">
      <c r="A1869" s="101"/>
      <c r="B1869" s="102"/>
    </row>
    <row r="1870" spans="1:2" ht="13.8" x14ac:dyDescent="0.3">
      <c r="A1870" s="101"/>
      <c r="B1870" s="102"/>
    </row>
    <row r="1871" spans="1:2" ht="13.8" x14ac:dyDescent="0.3">
      <c r="A1871" s="101"/>
      <c r="B1871" s="102"/>
    </row>
    <row r="1872" spans="1:2" ht="13.8" x14ac:dyDescent="0.3">
      <c r="A1872" s="101"/>
      <c r="B1872" s="102"/>
    </row>
    <row r="1873" spans="1:2" ht="13.8" x14ac:dyDescent="0.3">
      <c r="A1873" s="101"/>
      <c r="B1873" s="102"/>
    </row>
    <row r="1874" spans="1:2" ht="13.8" x14ac:dyDescent="0.3">
      <c r="A1874" s="101"/>
      <c r="B1874" s="102"/>
    </row>
    <row r="1875" spans="1:2" ht="13.8" x14ac:dyDescent="0.3">
      <c r="A1875" s="101"/>
      <c r="B1875" s="102"/>
    </row>
    <row r="1876" spans="1:2" ht="13.8" x14ac:dyDescent="0.3">
      <c r="A1876" s="101"/>
      <c r="B1876" s="102"/>
    </row>
    <row r="1877" spans="1:2" ht="13.8" x14ac:dyDescent="0.3">
      <c r="A1877" s="101"/>
      <c r="B1877" s="102"/>
    </row>
    <row r="1878" spans="1:2" ht="13.8" x14ac:dyDescent="0.3">
      <c r="A1878" s="101"/>
      <c r="B1878" s="102"/>
    </row>
    <row r="1879" spans="1:2" ht="13.8" x14ac:dyDescent="0.3">
      <c r="A1879" s="101"/>
      <c r="B1879" s="102"/>
    </row>
    <row r="1880" spans="1:2" ht="13.8" x14ac:dyDescent="0.3">
      <c r="A1880" s="101"/>
      <c r="B1880" s="102"/>
    </row>
    <row r="1881" spans="1:2" ht="13.8" x14ac:dyDescent="0.3">
      <c r="A1881" s="101"/>
      <c r="B1881" s="102"/>
    </row>
    <row r="1882" spans="1:2" ht="13.8" x14ac:dyDescent="0.3">
      <c r="A1882" s="101"/>
      <c r="B1882" s="102"/>
    </row>
    <row r="1883" spans="1:2" ht="13.8" x14ac:dyDescent="0.3">
      <c r="A1883" s="101"/>
      <c r="B1883" s="102"/>
    </row>
    <row r="1884" spans="1:2" ht="13.8" x14ac:dyDescent="0.3">
      <c r="A1884" s="101"/>
      <c r="B1884" s="102"/>
    </row>
    <row r="1885" spans="1:2" ht="13.8" x14ac:dyDescent="0.3">
      <c r="A1885" s="101"/>
      <c r="B1885" s="102"/>
    </row>
    <row r="1886" spans="1:2" ht="13.8" x14ac:dyDescent="0.3">
      <c r="A1886" s="101"/>
      <c r="B1886" s="102"/>
    </row>
    <row r="1887" spans="1:2" ht="13.8" x14ac:dyDescent="0.3">
      <c r="A1887" s="101"/>
      <c r="B1887" s="102"/>
    </row>
    <row r="1888" spans="1:2" ht="13.8" x14ac:dyDescent="0.3">
      <c r="A1888" s="101"/>
      <c r="B1888" s="102"/>
    </row>
    <row r="1889" spans="1:2" ht="13.8" x14ac:dyDescent="0.3">
      <c r="A1889" s="101"/>
      <c r="B1889" s="102"/>
    </row>
    <row r="1890" spans="1:2" ht="13.8" x14ac:dyDescent="0.3">
      <c r="A1890" s="101"/>
      <c r="B1890" s="102"/>
    </row>
    <row r="1891" spans="1:2" ht="13.8" x14ac:dyDescent="0.3">
      <c r="A1891" s="101"/>
      <c r="B1891" s="102"/>
    </row>
    <row r="1892" spans="1:2" ht="13.8" x14ac:dyDescent="0.3">
      <c r="A1892" s="101"/>
      <c r="B1892" s="102"/>
    </row>
    <row r="1893" spans="1:2" ht="13.8" x14ac:dyDescent="0.3">
      <c r="A1893" s="101"/>
      <c r="B1893" s="102"/>
    </row>
    <row r="1894" spans="1:2" ht="13.8" x14ac:dyDescent="0.3">
      <c r="A1894" s="101"/>
      <c r="B1894" s="102"/>
    </row>
    <row r="1895" spans="1:2" ht="13.8" x14ac:dyDescent="0.3">
      <c r="A1895" s="101"/>
      <c r="B1895" s="102"/>
    </row>
    <row r="1896" spans="1:2" ht="13.8" x14ac:dyDescent="0.3">
      <c r="A1896" s="101"/>
      <c r="B1896" s="102"/>
    </row>
    <row r="1897" spans="1:2" ht="13.8" x14ac:dyDescent="0.3">
      <c r="A1897" s="101"/>
      <c r="B1897" s="102"/>
    </row>
    <row r="1898" spans="1:2" ht="13.8" x14ac:dyDescent="0.3">
      <c r="A1898" s="101"/>
      <c r="B1898" s="102"/>
    </row>
    <row r="1899" spans="1:2" ht="13.8" x14ac:dyDescent="0.3">
      <c r="A1899" s="101"/>
      <c r="B1899" s="102"/>
    </row>
    <row r="1900" spans="1:2" ht="13.8" x14ac:dyDescent="0.3">
      <c r="A1900" s="101"/>
      <c r="B1900" s="102"/>
    </row>
    <row r="1901" spans="1:2" ht="13.8" x14ac:dyDescent="0.3">
      <c r="A1901" s="101"/>
      <c r="B1901" s="102"/>
    </row>
    <row r="1902" spans="1:2" ht="13.8" x14ac:dyDescent="0.3">
      <c r="A1902" s="101"/>
      <c r="B1902" s="102"/>
    </row>
    <row r="1903" spans="1:2" ht="13.8" x14ac:dyDescent="0.3">
      <c r="A1903" s="101"/>
      <c r="B1903" s="102"/>
    </row>
    <row r="1904" spans="1:2" ht="13.8" x14ac:dyDescent="0.3">
      <c r="A1904" s="101"/>
      <c r="B1904" s="102"/>
    </row>
    <row r="1905" spans="1:2" ht="13.8" x14ac:dyDescent="0.3">
      <c r="A1905" s="101"/>
      <c r="B1905" s="102"/>
    </row>
    <row r="1906" spans="1:2" ht="13.8" x14ac:dyDescent="0.3">
      <c r="A1906" s="101"/>
      <c r="B1906" s="102"/>
    </row>
    <row r="1907" spans="1:2" ht="13.8" x14ac:dyDescent="0.3">
      <c r="A1907" s="101"/>
      <c r="B1907" s="102"/>
    </row>
    <row r="1908" spans="1:2" ht="13.8" x14ac:dyDescent="0.3">
      <c r="A1908" s="101"/>
      <c r="B1908" s="102"/>
    </row>
    <row r="1909" spans="1:2" ht="13.8" x14ac:dyDescent="0.3">
      <c r="A1909" s="101"/>
      <c r="B1909" s="102"/>
    </row>
    <row r="1910" spans="1:2" ht="13.8" x14ac:dyDescent="0.3">
      <c r="A1910" s="101"/>
      <c r="B1910" s="102"/>
    </row>
    <row r="1911" spans="1:2" ht="13.8" x14ac:dyDescent="0.3">
      <c r="A1911" s="101"/>
      <c r="B1911" s="102"/>
    </row>
    <row r="1912" spans="1:2" ht="13.8" x14ac:dyDescent="0.3">
      <c r="A1912" s="101"/>
      <c r="B1912" s="102"/>
    </row>
    <row r="1913" spans="1:2" ht="13.8" x14ac:dyDescent="0.3">
      <c r="A1913" s="101"/>
      <c r="B1913" s="102"/>
    </row>
    <row r="1914" spans="1:2" ht="13.8" x14ac:dyDescent="0.3">
      <c r="A1914" s="101"/>
      <c r="B1914" s="102"/>
    </row>
    <row r="1915" spans="1:2" ht="13.8" x14ac:dyDescent="0.3">
      <c r="A1915" s="101"/>
      <c r="B1915" s="102"/>
    </row>
    <row r="1916" spans="1:2" ht="13.8" x14ac:dyDescent="0.3">
      <c r="A1916" s="101"/>
      <c r="B1916" s="102"/>
    </row>
    <row r="1917" spans="1:2" ht="13.8" x14ac:dyDescent="0.3">
      <c r="A1917" s="101"/>
      <c r="B1917" s="102"/>
    </row>
    <row r="1918" spans="1:2" ht="13.8" x14ac:dyDescent="0.3">
      <c r="A1918" s="101"/>
      <c r="B1918" s="102"/>
    </row>
    <row r="1919" spans="1:2" ht="13.8" x14ac:dyDescent="0.3">
      <c r="A1919" s="101"/>
      <c r="B1919" s="102"/>
    </row>
    <row r="1920" spans="1:2" ht="13.8" x14ac:dyDescent="0.3">
      <c r="A1920" s="101"/>
      <c r="B1920" s="102"/>
    </row>
    <row r="1921" spans="1:2" ht="13.8" x14ac:dyDescent="0.3">
      <c r="A1921" s="101"/>
      <c r="B1921" s="102"/>
    </row>
    <row r="1922" spans="1:2" ht="13.8" x14ac:dyDescent="0.3">
      <c r="A1922" s="101"/>
      <c r="B1922" s="102"/>
    </row>
    <row r="1923" spans="1:2" ht="13.8" x14ac:dyDescent="0.3">
      <c r="A1923" s="101"/>
      <c r="B1923" s="102"/>
    </row>
    <row r="1924" spans="1:2" ht="13.8" x14ac:dyDescent="0.3">
      <c r="A1924" s="101"/>
      <c r="B1924" s="102"/>
    </row>
    <row r="1925" spans="1:2" ht="13.8" x14ac:dyDescent="0.3">
      <c r="A1925" s="101"/>
      <c r="B1925" s="102"/>
    </row>
    <row r="1926" spans="1:2" ht="13.8" x14ac:dyDescent="0.3">
      <c r="A1926" s="101"/>
      <c r="B1926" s="102"/>
    </row>
    <row r="1927" spans="1:2" ht="13.8" x14ac:dyDescent="0.3">
      <c r="A1927" s="101"/>
      <c r="B1927" s="102"/>
    </row>
    <row r="1928" spans="1:2" ht="13.8" x14ac:dyDescent="0.3">
      <c r="A1928" s="101"/>
      <c r="B1928" s="102"/>
    </row>
    <row r="1929" spans="1:2" ht="13.8" x14ac:dyDescent="0.3">
      <c r="A1929" s="101"/>
      <c r="B1929" s="102"/>
    </row>
    <row r="1930" spans="1:2" ht="13.8" x14ac:dyDescent="0.3">
      <c r="A1930" s="101"/>
      <c r="B1930" s="102"/>
    </row>
    <row r="1931" spans="1:2" ht="13.8" x14ac:dyDescent="0.3">
      <c r="A1931" s="101"/>
      <c r="B1931" s="102"/>
    </row>
    <row r="1932" spans="1:2" ht="13.8" x14ac:dyDescent="0.3">
      <c r="A1932" s="101"/>
      <c r="B1932" s="102"/>
    </row>
    <row r="1933" spans="1:2" ht="13.8" x14ac:dyDescent="0.3">
      <c r="A1933" s="101"/>
      <c r="B1933" s="102"/>
    </row>
    <row r="1934" spans="1:2" ht="13.8" x14ac:dyDescent="0.3">
      <c r="A1934" s="101"/>
      <c r="B1934" s="102"/>
    </row>
    <row r="1935" spans="1:2" ht="13.8" x14ac:dyDescent="0.3">
      <c r="A1935" s="101"/>
      <c r="B1935" s="102"/>
    </row>
    <row r="1936" spans="1:2" ht="13.8" x14ac:dyDescent="0.3">
      <c r="A1936" s="101"/>
      <c r="B1936" s="102"/>
    </row>
    <row r="1937" spans="1:2" ht="13.8" x14ac:dyDescent="0.3">
      <c r="A1937" s="101"/>
      <c r="B1937" s="102"/>
    </row>
    <row r="1938" spans="1:2" ht="13.8" x14ac:dyDescent="0.3">
      <c r="A1938" s="101"/>
      <c r="B1938" s="102"/>
    </row>
    <row r="1939" spans="1:2" ht="13.8" x14ac:dyDescent="0.3">
      <c r="A1939" s="101"/>
      <c r="B1939" s="102"/>
    </row>
    <row r="1940" spans="1:2" ht="13.8" x14ac:dyDescent="0.3">
      <c r="A1940" s="101"/>
      <c r="B1940" s="102"/>
    </row>
    <row r="1941" spans="1:2" ht="13.8" x14ac:dyDescent="0.3">
      <c r="A1941" s="101"/>
      <c r="B1941" s="102"/>
    </row>
    <row r="1942" spans="1:2" ht="13.8" x14ac:dyDescent="0.3">
      <c r="A1942" s="101"/>
      <c r="B1942" s="102"/>
    </row>
    <row r="1943" spans="1:2" ht="13.8" x14ac:dyDescent="0.3">
      <c r="A1943" s="101"/>
      <c r="B1943" s="102"/>
    </row>
    <row r="1944" spans="1:2" ht="13.8" x14ac:dyDescent="0.3">
      <c r="A1944" s="101"/>
      <c r="B1944" s="102"/>
    </row>
    <row r="1945" spans="1:2" ht="13.8" x14ac:dyDescent="0.3">
      <c r="A1945" s="101"/>
      <c r="B1945" s="102"/>
    </row>
    <row r="1946" spans="1:2" ht="13.8" x14ac:dyDescent="0.3">
      <c r="A1946" s="101"/>
      <c r="B1946" s="102"/>
    </row>
    <row r="1947" spans="1:2" ht="13.8" x14ac:dyDescent="0.3">
      <c r="A1947" s="101"/>
      <c r="B1947" s="102"/>
    </row>
    <row r="1948" spans="1:2" ht="13.8" x14ac:dyDescent="0.3">
      <c r="A1948" s="101"/>
      <c r="B1948" s="102"/>
    </row>
    <row r="1949" spans="1:2" ht="13.8" x14ac:dyDescent="0.3">
      <c r="A1949" s="101"/>
      <c r="B1949" s="102"/>
    </row>
    <row r="1950" spans="1:2" ht="13.8" x14ac:dyDescent="0.3">
      <c r="A1950" s="101"/>
      <c r="B1950" s="102"/>
    </row>
    <row r="1951" spans="1:2" ht="13.8" x14ac:dyDescent="0.3">
      <c r="A1951" s="101"/>
      <c r="B1951" s="102"/>
    </row>
    <row r="1952" spans="1:2" ht="13.8" x14ac:dyDescent="0.3">
      <c r="A1952" s="101"/>
      <c r="B1952" s="102"/>
    </row>
    <row r="1953" spans="1:2" ht="13.8" x14ac:dyDescent="0.3">
      <c r="A1953" s="101"/>
      <c r="B1953" s="102"/>
    </row>
    <row r="1954" spans="1:2" ht="13.8" x14ac:dyDescent="0.3">
      <c r="A1954" s="101"/>
      <c r="B1954" s="102"/>
    </row>
    <row r="1955" spans="1:2" ht="13.8" x14ac:dyDescent="0.3">
      <c r="A1955" s="101"/>
      <c r="B1955" s="102"/>
    </row>
    <row r="1956" spans="1:2" ht="13.8" x14ac:dyDescent="0.3">
      <c r="A1956" s="101"/>
      <c r="B1956" s="102"/>
    </row>
    <row r="1957" spans="1:2" ht="13.8" x14ac:dyDescent="0.3">
      <c r="A1957" s="101"/>
      <c r="B1957" s="102"/>
    </row>
    <row r="1958" spans="1:2" ht="13.8" x14ac:dyDescent="0.3">
      <c r="A1958" s="101"/>
      <c r="B1958" s="102"/>
    </row>
    <row r="1959" spans="1:2" ht="13.8" x14ac:dyDescent="0.3">
      <c r="A1959" s="101"/>
      <c r="B1959" s="102"/>
    </row>
    <row r="1960" spans="1:2" ht="13.8" x14ac:dyDescent="0.3">
      <c r="A1960" s="101"/>
      <c r="B1960" s="102"/>
    </row>
    <row r="1961" spans="1:2" ht="13.8" x14ac:dyDescent="0.3">
      <c r="A1961" s="101"/>
      <c r="B1961" s="102"/>
    </row>
    <row r="1962" spans="1:2" ht="13.8" x14ac:dyDescent="0.3">
      <c r="A1962" s="101"/>
      <c r="B1962" s="102"/>
    </row>
    <row r="1963" spans="1:2" ht="13.8" x14ac:dyDescent="0.3">
      <c r="A1963" s="101"/>
      <c r="B1963" s="102"/>
    </row>
    <row r="1964" spans="1:2" ht="13.8" x14ac:dyDescent="0.3">
      <c r="A1964" s="101"/>
      <c r="B1964" s="102"/>
    </row>
    <row r="1965" spans="1:2" ht="13.8" x14ac:dyDescent="0.3">
      <c r="A1965" s="101"/>
      <c r="B1965" s="102"/>
    </row>
    <row r="1966" spans="1:2" ht="13.8" x14ac:dyDescent="0.3">
      <c r="A1966" s="101"/>
      <c r="B1966" s="102"/>
    </row>
    <row r="1967" spans="1:2" ht="13.8" x14ac:dyDescent="0.3">
      <c r="A1967" s="101"/>
      <c r="B1967" s="102"/>
    </row>
    <row r="1968" spans="1:2" ht="13.8" x14ac:dyDescent="0.3">
      <c r="A1968" s="101"/>
      <c r="B1968" s="102"/>
    </row>
    <row r="1969" spans="1:2" ht="13.8" x14ac:dyDescent="0.3">
      <c r="A1969" s="101"/>
      <c r="B1969" s="102"/>
    </row>
    <row r="1970" spans="1:2" ht="13.8" x14ac:dyDescent="0.3">
      <c r="A1970" s="101"/>
      <c r="B1970" s="102"/>
    </row>
    <row r="1971" spans="1:2" ht="13.8" x14ac:dyDescent="0.3">
      <c r="A1971" s="101"/>
      <c r="B1971" s="102"/>
    </row>
    <row r="1972" spans="1:2" ht="13.8" x14ac:dyDescent="0.3">
      <c r="A1972" s="101"/>
      <c r="B1972" s="102"/>
    </row>
    <row r="1973" spans="1:2" ht="13.8" x14ac:dyDescent="0.3">
      <c r="A1973" s="101"/>
      <c r="B1973" s="102"/>
    </row>
    <row r="1974" spans="1:2" ht="13.8" x14ac:dyDescent="0.3">
      <c r="A1974" s="101"/>
      <c r="B1974" s="102"/>
    </row>
    <row r="1975" spans="1:2" ht="13.8" x14ac:dyDescent="0.3">
      <c r="A1975" s="101"/>
      <c r="B1975" s="102"/>
    </row>
    <row r="1976" spans="1:2" ht="13.8" x14ac:dyDescent="0.3">
      <c r="A1976" s="101"/>
      <c r="B1976" s="102"/>
    </row>
    <row r="1977" spans="1:2" ht="13.8" x14ac:dyDescent="0.3">
      <c r="A1977" s="101"/>
      <c r="B1977" s="102"/>
    </row>
    <row r="1978" spans="1:2" ht="13.8" x14ac:dyDescent="0.3">
      <c r="A1978" s="101"/>
      <c r="B1978" s="102"/>
    </row>
    <row r="1979" spans="1:2" ht="13.8" x14ac:dyDescent="0.3">
      <c r="A1979" s="101"/>
      <c r="B1979" s="102"/>
    </row>
    <row r="1980" spans="1:2" ht="13.8" x14ac:dyDescent="0.3">
      <c r="A1980" s="101"/>
      <c r="B1980" s="102"/>
    </row>
    <row r="1981" spans="1:2" ht="13.8" x14ac:dyDescent="0.3">
      <c r="A1981" s="101"/>
      <c r="B1981" s="102"/>
    </row>
    <row r="1982" spans="1:2" ht="13.8" x14ac:dyDescent="0.3">
      <c r="A1982" s="101"/>
      <c r="B1982" s="102"/>
    </row>
    <row r="1983" spans="1:2" ht="13.8" x14ac:dyDescent="0.3">
      <c r="A1983" s="101"/>
      <c r="B1983" s="102"/>
    </row>
    <row r="1984" spans="1:2" ht="13.8" x14ac:dyDescent="0.3">
      <c r="A1984" s="101"/>
      <c r="B1984" s="102"/>
    </row>
    <row r="1985" spans="1:2" ht="13.8" x14ac:dyDescent="0.3">
      <c r="A1985" s="101"/>
      <c r="B1985" s="102"/>
    </row>
    <row r="1986" spans="1:2" ht="13.8" x14ac:dyDescent="0.3">
      <c r="A1986" s="101"/>
      <c r="B1986" s="102"/>
    </row>
    <row r="1987" spans="1:2" ht="13.8" x14ac:dyDescent="0.3">
      <c r="A1987" s="101"/>
      <c r="B1987" s="102"/>
    </row>
    <row r="1988" spans="1:2" ht="13.8" x14ac:dyDescent="0.3">
      <c r="A1988" s="101"/>
      <c r="B1988" s="102"/>
    </row>
    <row r="1989" spans="1:2" ht="13.8" x14ac:dyDescent="0.3">
      <c r="A1989" s="101"/>
      <c r="B1989" s="102"/>
    </row>
    <row r="1990" spans="1:2" ht="13.8" x14ac:dyDescent="0.3">
      <c r="A1990" s="101"/>
      <c r="B1990" s="102"/>
    </row>
    <row r="1991" spans="1:2" ht="13.8" x14ac:dyDescent="0.3">
      <c r="A1991" s="101"/>
      <c r="B1991" s="102"/>
    </row>
    <row r="1992" spans="1:2" ht="13.8" x14ac:dyDescent="0.3">
      <c r="A1992" s="101"/>
      <c r="B1992" s="102"/>
    </row>
    <row r="1993" spans="1:2" ht="13.8" x14ac:dyDescent="0.3">
      <c r="A1993" s="101"/>
      <c r="B1993" s="102"/>
    </row>
    <row r="1994" spans="1:2" ht="13.8" x14ac:dyDescent="0.3">
      <c r="A1994" s="101"/>
      <c r="B1994" s="102"/>
    </row>
    <row r="1995" spans="1:2" ht="13.8" x14ac:dyDescent="0.3">
      <c r="A1995" s="101"/>
      <c r="B1995" s="102"/>
    </row>
    <row r="1996" spans="1:2" ht="13.8" x14ac:dyDescent="0.3">
      <c r="A1996" s="101"/>
      <c r="B1996" s="102"/>
    </row>
    <row r="1997" spans="1:2" ht="13.8" x14ac:dyDescent="0.3">
      <c r="A1997" s="101"/>
      <c r="B1997" s="102"/>
    </row>
    <row r="1998" spans="1:2" ht="13.8" x14ac:dyDescent="0.3">
      <c r="A1998" s="101"/>
      <c r="B1998" s="102"/>
    </row>
    <row r="1999" spans="1:2" ht="13.8" x14ac:dyDescent="0.3">
      <c r="A1999" s="101"/>
      <c r="B1999" s="102"/>
    </row>
    <row r="2000" spans="1:2" ht="13.8" x14ac:dyDescent="0.3">
      <c r="A2000" s="101"/>
      <c r="B2000" s="102"/>
    </row>
    <row r="2001" spans="1:2" ht="13.8" x14ac:dyDescent="0.3">
      <c r="A2001" s="101"/>
      <c r="B2001" s="102"/>
    </row>
    <row r="2002" spans="1:2" ht="13.8" x14ac:dyDescent="0.3">
      <c r="A2002" s="101"/>
      <c r="B2002" s="102"/>
    </row>
    <row r="2003" spans="1:2" ht="13.8" x14ac:dyDescent="0.3">
      <c r="A2003" s="101"/>
      <c r="B2003" s="102"/>
    </row>
    <row r="2004" spans="1:2" ht="13.8" x14ac:dyDescent="0.3">
      <c r="A2004" s="101"/>
      <c r="B2004" s="102"/>
    </row>
    <row r="2005" spans="1:2" ht="13.8" x14ac:dyDescent="0.3">
      <c r="A2005" s="101"/>
      <c r="B2005" s="102"/>
    </row>
    <row r="2006" spans="1:2" ht="13.8" x14ac:dyDescent="0.3">
      <c r="A2006" s="101"/>
      <c r="B2006" s="102"/>
    </row>
    <row r="2007" spans="1:2" ht="13.8" x14ac:dyDescent="0.3">
      <c r="A2007" s="101"/>
      <c r="B2007" s="102"/>
    </row>
    <row r="2008" spans="1:2" ht="13.8" x14ac:dyDescent="0.3">
      <c r="A2008" s="101"/>
      <c r="B2008" s="102"/>
    </row>
    <row r="2009" spans="1:2" ht="13.8" x14ac:dyDescent="0.3">
      <c r="A2009" s="101"/>
      <c r="B2009" s="102"/>
    </row>
    <row r="2010" spans="1:2" ht="13.8" x14ac:dyDescent="0.3">
      <c r="A2010" s="101"/>
      <c r="B2010" s="102"/>
    </row>
    <row r="2011" spans="1:2" ht="13.8" x14ac:dyDescent="0.3">
      <c r="A2011" s="101"/>
      <c r="B2011" s="102"/>
    </row>
    <row r="2012" spans="1:2" ht="13.8" x14ac:dyDescent="0.3">
      <c r="A2012" s="101"/>
      <c r="B2012" s="102"/>
    </row>
    <row r="2013" spans="1:2" ht="13.8" x14ac:dyDescent="0.3">
      <c r="A2013" s="101"/>
      <c r="B2013" s="102"/>
    </row>
    <row r="2014" spans="1:2" ht="13.8" x14ac:dyDescent="0.3">
      <c r="A2014" s="101"/>
      <c r="B2014" s="102"/>
    </row>
    <row r="2015" spans="1:2" ht="13.8" x14ac:dyDescent="0.3">
      <c r="A2015" s="101"/>
      <c r="B2015" s="102"/>
    </row>
    <row r="2016" spans="1:2" ht="13.8" x14ac:dyDescent="0.3">
      <c r="A2016" s="101"/>
      <c r="B2016" s="102"/>
    </row>
    <row r="2017" spans="1:2" ht="13.8" x14ac:dyDescent="0.3">
      <c r="A2017" s="101"/>
      <c r="B2017" s="102"/>
    </row>
    <row r="2018" spans="1:2" ht="13.8" x14ac:dyDescent="0.3">
      <c r="A2018" s="101"/>
      <c r="B2018" s="102"/>
    </row>
    <row r="2019" spans="1:2" ht="13.8" x14ac:dyDescent="0.3">
      <c r="A2019" s="101"/>
      <c r="B2019" s="102"/>
    </row>
    <row r="2020" spans="1:2" ht="13.8" x14ac:dyDescent="0.3">
      <c r="A2020" s="101"/>
      <c r="B2020" s="102"/>
    </row>
    <row r="2021" spans="1:2" ht="13.8" x14ac:dyDescent="0.3">
      <c r="A2021" s="101"/>
      <c r="B2021" s="102"/>
    </row>
    <row r="2022" spans="1:2" ht="13.8" x14ac:dyDescent="0.3">
      <c r="A2022" s="101"/>
      <c r="B2022" s="102"/>
    </row>
    <row r="2023" spans="1:2" ht="13.8" x14ac:dyDescent="0.3">
      <c r="A2023" s="101"/>
      <c r="B2023" s="102"/>
    </row>
    <row r="2024" spans="1:2" ht="13.8" x14ac:dyDescent="0.3">
      <c r="A2024" s="101"/>
      <c r="B2024" s="102"/>
    </row>
    <row r="2025" spans="1:2" ht="13.8" x14ac:dyDescent="0.3">
      <c r="A2025" s="101"/>
      <c r="B2025" s="102"/>
    </row>
    <row r="2026" spans="1:2" ht="13.8" x14ac:dyDescent="0.3">
      <c r="A2026" s="101"/>
      <c r="B2026" s="102"/>
    </row>
    <row r="2027" spans="1:2" ht="13.8" x14ac:dyDescent="0.3">
      <c r="A2027" s="101"/>
      <c r="B2027" s="102"/>
    </row>
    <row r="2028" spans="1:2" ht="13.8" x14ac:dyDescent="0.3">
      <c r="A2028" s="101"/>
      <c r="B2028" s="102"/>
    </row>
    <row r="2029" spans="1:2" ht="13.8" x14ac:dyDescent="0.3">
      <c r="A2029" s="101"/>
      <c r="B2029" s="102"/>
    </row>
    <row r="2030" spans="1:2" ht="13.8" x14ac:dyDescent="0.3">
      <c r="A2030" s="101"/>
      <c r="B2030" s="102"/>
    </row>
    <row r="2031" spans="1:2" ht="13.8" x14ac:dyDescent="0.3">
      <c r="A2031" s="101"/>
      <c r="B2031" s="102"/>
    </row>
    <row r="2032" spans="1:2" ht="13.8" x14ac:dyDescent="0.3">
      <c r="A2032" s="101"/>
      <c r="B2032" s="102"/>
    </row>
    <row r="2033" spans="1:2" ht="13.8" x14ac:dyDescent="0.3">
      <c r="A2033" s="101"/>
      <c r="B2033" s="102"/>
    </row>
    <row r="2034" spans="1:2" ht="13.8" x14ac:dyDescent="0.3">
      <c r="A2034" s="101"/>
      <c r="B2034" s="102"/>
    </row>
    <row r="2035" spans="1:2" ht="13.8" x14ac:dyDescent="0.3">
      <c r="A2035" s="101"/>
      <c r="B2035" s="102"/>
    </row>
    <row r="2036" spans="1:2" ht="13.8" x14ac:dyDescent="0.3">
      <c r="A2036" s="101"/>
      <c r="B2036" s="102"/>
    </row>
    <row r="2037" spans="1:2" ht="13.8" x14ac:dyDescent="0.3">
      <c r="A2037" s="101"/>
      <c r="B2037" s="102"/>
    </row>
    <row r="2038" spans="1:2" ht="13.8" x14ac:dyDescent="0.3">
      <c r="A2038" s="101"/>
      <c r="B2038" s="102"/>
    </row>
    <row r="2039" spans="1:2" ht="13.8" x14ac:dyDescent="0.3">
      <c r="A2039" s="101"/>
      <c r="B2039" s="102"/>
    </row>
    <row r="2040" spans="1:2" ht="13.8" x14ac:dyDescent="0.3">
      <c r="A2040" s="101"/>
      <c r="B2040" s="102"/>
    </row>
    <row r="2041" spans="1:2" ht="13.8" x14ac:dyDescent="0.3">
      <c r="A2041" s="101"/>
      <c r="B2041" s="102"/>
    </row>
    <row r="2042" spans="1:2" ht="13.8" x14ac:dyDescent="0.3">
      <c r="A2042" s="101"/>
      <c r="B2042" s="102"/>
    </row>
    <row r="2043" spans="1:2" ht="13.8" x14ac:dyDescent="0.3">
      <c r="A2043" s="101"/>
      <c r="B2043" s="102"/>
    </row>
    <row r="2044" spans="1:2" ht="13.8" x14ac:dyDescent="0.3">
      <c r="A2044" s="101"/>
      <c r="B2044" s="102"/>
    </row>
    <row r="2045" spans="1:2" ht="13.8" x14ac:dyDescent="0.3">
      <c r="A2045" s="101"/>
      <c r="B2045" s="102"/>
    </row>
    <row r="2046" spans="1:2" ht="13.8" x14ac:dyDescent="0.3">
      <c r="A2046" s="101"/>
      <c r="B2046" s="102"/>
    </row>
    <row r="2047" spans="1:2" ht="13.8" x14ac:dyDescent="0.3">
      <c r="A2047" s="101"/>
      <c r="B2047" s="102"/>
    </row>
    <row r="2048" spans="1:2" ht="13.8" x14ac:dyDescent="0.3">
      <c r="A2048" s="101"/>
      <c r="B2048" s="102"/>
    </row>
    <row r="2049" spans="1:2" ht="13.8" x14ac:dyDescent="0.3">
      <c r="A2049" s="101"/>
      <c r="B2049" s="102"/>
    </row>
    <row r="2050" spans="1:2" ht="13.8" x14ac:dyDescent="0.3">
      <c r="A2050" s="101"/>
      <c r="B2050" s="102"/>
    </row>
    <row r="2051" spans="1:2" ht="13.8" x14ac:dyDescent="0.3">
      <c r="A2051" s="101"/>
      <c r="B2051" s="102"/>
    </row>
    <row r="2052" spans="1:2" ht="13.8" x14ac:dyDescent="0.3">
      <c r="A2052" s="101"/>
      <c r="B2052" s="102"/>
    </row>
    <row r="2053" spans="1:2" ht="13.8" x14ac:dyDescent="0.3">
      <c r="A2053" s="101"/>
      <c r="B2053" s="102"/>
    </row>
    <row r="2054" spans="1:2" ht="13.8" x14ac:dyDescent="0.3">
      <c r="A2054" s="101"/>
      <c r="B2054" s="102"/>
    </row>
    <row r="2055" spans="1:2" ht="13.8" x14ac:dyDescent="0.3">
      <c r="A2055" s="101"/>
      <c r="B2055" s="102"/>
    </row>
    <row r="2056" spans="1:2" ht="13.8" x14ac:dyDescent="0.3">
      <c r="A2056" s="101"/>
      <c r="B2056" s="102"/>
    </row>
    <row r="2057" spans="1:2" ht="13.8" x14ac:dyDescent="0.3">
      <c r="A2057" s="101"/>
      <c r="B2057" s="102"/>
    </row>
    <row r="2058" spans="1:2" ht="13.8" x14ac:dyDescent="0.3">
      <c r="A2058" s="101"/>
      <c r="B2058" s="102"/>
    </row>
    <row r="2059" spans="1:2" ht="13.8" x14ac:dyDescent="0.3">
      <c r="A2059" s="101"/>
      <c r="B2059" s="102"/>
    </row>
    <row r="2060" spans="1:2" ht="13.8" x14ac:dyDescent="0.3">
      <c r="A2060" s="101"/>
      <c r="B2060" s="102"/>
    </row>
    <row r="2061" spans="1:2" ht="13.8" x14ac:dyDescent="0.3">
      <c r="A2061" s="101"/>
      <c r="B2061" s="102"/>
    </row>
    <row r="2062" spans="1:2" ht="13.8" x14ac:dyDescent="0.3">
      <c r="A2062" s="101"/>
      <c r="B2062" s="102"/>
    </row>
    <row r="2063" spans="1:2" ht="13.8" x14ac:dyDescent="0.3">
      <c r="A2063" s="101"/>
      <c r="B2063" s="102"/>
    </row>
    <row r="2064" spans="1:2" ht="13.8" x14ac:dyDescent="0.3">
      <c r="A2064" s="101"/>
      <c r="B2064" s="102"/>
    </row>
    <row r="2065" spans="1:2" ht="13.8" x14ac:dyDescent="0.3">
      <c r="A2065" s="101"/>
      <c r="B2065" s="102"/>
    </row>
    <row r="2066" spans="1:2" ht="13.8" x14ac:dyDescent="0.3">
      <c r="A2066" s="101"/>
      <c r="B2066" s="102"/>
    </row>
    <row r="2067" spans="1:2" ht="13.8" x14ac:dyDescent="0.3">
      <c r="A2067" s="101"/>
      <c r="B2067" s="102"/>
    </row>
    <row r="2068" spans="1:2" ht="13.8" x14ac:dyDescent="0.3">
      <c r="A2068" s="101"/>
      <c r="B2068" s="102"/>
    </row>
    <row r="2069" spans="1:2" ht="13.8" x14ac:dyDescent="0.3">
      <c r="A2069" s="101"/>
      <c r="B2069" s="102"/>
    </row>
    <row r="2070" spans="1:2" ht="13.8" x14ac:dyDescent="0.3">
      <c r="A2070" s="101"/>
      <c r="B2070" s="102"/>
    </row>
    <row r="2071" spans="1:2" ht="13.8" x14ac:dyDescent="0.3">
      <c r="A2071" s="101"/>
      <c r="B2071" s="102"/>
    </row>
    <row r="2072" spans="1:2" ht="13.8" x14ac:dyDescent="0.3">
      <c r="A2072" s="101"/>
      <c r="B2072" s="102"/>
    </row>
    <row r="2073" spans="1:2" ht="13.8" x14ac:dyDescent="0.3">
      <c r="A2073" s="101"/>
      <c r="B2073" s="102"/>
    </row>
    <row r="2074" spans="1:2" ht="13.8" x14ac:dyDescent="0.3">
      <c r="A2074" s="101"/>
      <c r="B2074" s="102"/>
    </row>
    <row r="2075" spans="1:2" ht="13.8" x14ac:dyDescent="0.3">
      <c r="A2075" s="101"/>
      <c r="B2075" s="102"/>
    </row>
    <row r="2076" spans="1:2" ht="13.8" x14ac:dyDescent="0.3">
      <c r="A2076" s="101"/>
      <c r="B2076" s="102"/>
    </row>
    <row r="2077" spans="1:2" ht="13.8" x14ac:dyDescent="0.3">
      <c r="A2077" s="101"/>
      <c r="B2077" s="102"/>
    </row>
    <row r="2078" spans="1:2" ht="13.8" x14ac:dyDescent="0.3">
      <c r="A2078" s="101"/>
      <c r="B2078" s="102"/>
    </row>
    <row r="2079" spans="1:2" ht="13.8" x14ac:dyDescent="0.3">
      <c r="A2079" s="101"/>
      <c r="B2079" s="102"/>
    </row>
    <row r="2080" spans="1:2" ht="13.8" x14ac:dyDescent="0.3">
      <c r="A2080" s="101"/>
      <c r="B2080" s="102"/>
    </row>
    <row r="2081" spans="1:2" ht="13.8" x14ac:dyDescent="0.3">
      <c r="A2081" s="101"/>
      <c r="B2081" s="102"/>
    </row>
    <row r="2082" spans="1:2" ht="13.8" x14ac:dyDescent="0.3">
      <c r="A2082" s="101"/>
      <c r="B2082" s="102"/>
    </row>
    <row r="2083" spans="1:2" ht="13.8" x14ac:dyDescent="0.3">
      <c r="A2083" s="101"/>
      <c r="B2083" s="102"/>
    </row>
    <row r="2084" spans="1:2" ht="13.8" x14ac:dyDescent="0.3">
      <c r="A2084" s="101"/>
      <c r="B2084" s="102"/>
    </row>
    <row r="2085" spans="1:2" ht="13.8" x14ac:dyDescent="0.3">
      <c r="A2085" s="101"/>
      <c r="B2085" s="102"/>
    </row>
    <row r="2086" spans="1:2" ht="13.8" x14ac:dyDescent="0.3">
      <c r="A2086" s="101"/>
      <c r="B2086" s="102"/>
    </row>
    <row r="2087" spans="1:2" ht="13.8" x14ac:dyDescent="0.3">
      <c r="A2087" s="101"/>
      <c r="B2087" s="102"/>
    </row>
    <row r="2088" spans="1:2" ht="13.8" x14ac:dyDescent="0.3">
      <c r="A2088" s="101"/>
      <c r="B2088" s="102"/>
    </row>
    <row r="2089" spans="1:2" ht="13.8" x14ac:dyDescent="0.3">
      <c r="A2089" s="101"/>
      <c r="B2089" s="102"/>
    </row>
    <row r="2090" spans="1:2" ht="13.8" x14ac:dyDescent="0.3">
      <c r="A2090" s="101"/>
      <c r="B2090" s="102"/>
    </row>
    <row r="2091" spans="1:2" ht="13.8" x14ac:dyDescent="0.3">
      <c r="A2091" s="101"/>
      <c r="B2091" s="102"/>
    </row>
    <row r="2092" spans="1:2" ht="13.8" x14ac:dyDescent="0.3">
      <c r="A2092" s="101"/>
      <c r="B2092" s="102"/>
    </row>
    <row r="2093" spans="1:2" ht="13.8" x14ac:dyDescent="0.3">
      <c r="A2093" s="101"/>
      <c r="B2093" s="102"/>
    </row>
    <row r="2094" spans="1:2" ht="13.8" x14ac:dyDescent="0.3">
      <c r="A2094" s="101"/>
      <c r="B2094" s="102"/>
    </row>
    <row r="2095" spans="1:2" ht="13.8" x14ac:dyDescent="0.3">
      <c r="A2095" s="101"/>
      <c r="B2095" s="102"/>
    </row>
    <row r="2096" spans="1:2" ht="13.8" x14ac:dyDescent="0.3">
      <c r="A2096" s="101"/>
      <c r="B2096" s="102"/>
    </row>
    <row r="2097" spans="1:2" ht="13.8" x14ac:dyDescent="0.3">
      <c r="A2097" s="101"/>
      <c r="B2097" s="102"/>
    </row>
    <row r="2098" spans="1:2" ht="13.8" x14ac:dyDescent="0.3">
      <c r="A2098" s="101"/>
      <c r="B2098" s="102"/>
    </row>
    <row r="2099" spans="1:2" ht="13.8" x14ac:dyDescent="0.3">
      <c r="A2099" s="101"/>
      <c r="B2099" s="102"/>
    </row>
    <row r="2100" spans="1:2" ht="13.8" x14ac:dyDescent="0.3">
      <c r="A2100" s="101"/>
      <c r="B2100" s="102"/>
    </row>
    <row r="2101" spans="1:2" ht="13.8" x14ac:dyDescent="0.3">
      <c r="A2101" s="101"/>
      <c r="B2101" s="102"/>
    </row>
    <row r="2102" spans="1:2" ht="13.8" x14ac:dyDescent="0.3">
      <c r="A2102" s="101"/>
      <c r="B2102" s="102"/>
    </row>
    <row r="2103" spans="1:2" ht="13.8" x14ac:dyDescent="0.3">
      <c r="A2103" s="101"/>
      <c r="B2103" s="102"/>
    </row>
    <row r="2104" spans="1:2" ht="13.8" x14ac:dyDescent="0.3">
      <c r="A2104" s="101"/>
      <c r="B2104" s="102"/>
    </row>
    <row r="2105" spans="1:2" ht="13.8" x14ac:dyDescent="0.3">
      <c r="A2105" s="101"/>
      <c r="B2105" s="102"/>
    </row>
    <row r="2106" spans="1:2" ht="13.8" x14ac:dyDescent="0.3">
      <c r="A2106" s="101"/>
      <c r="B2106" s="102"/>
    </row>
    <row r="2107" spans="1:2" ht="13.8" x14ac:dyDescent="0.3">
      <c r="A2107" s="101"/>
      <c r="B2107" s="102"/>
    </row>
    <row r="2108" spans="1:2" ht="13.8" x14ac:dyDescent="0.3">
      <c r="A2108" s="101"/>
      <c r="B2108" s="102"/>
    </row>
    <row r="2109" spans="1:2" ht="13.8" x14ac:dyDescent="0.3">
      <c r="A2109" s="101"/>
      <c r="B2109" s="102"/>
    </row>
    <row r="2110" spans="1:2" ht="13.8" x14ac:dyDescent="0.3">
      <c r="A2110" s="101"/>
      <c r="B2110" s="102"/>
    </row>
    <row r="2111" spans="1:2" ht="13.8" x14ac:dyDescent="0.3">
      <c r="A2111" s="101"/>
      <c r="B2111" s="102"/>
    </row>
    <row r="2112" spans="1:2" ht="13.8" x14ac:dyDescent="0.3">
      <c r="A2112" s="101"/>
      <c r="B2112" s="102"/>
    </row>
    <row r="2113" spans="1:2" ht="13.8" x14ac:dyDescent="0.3">
      <c r="A2113" s="101"/>
      <c r="B2113" s="102"/>
    </row>
    <row r="2114" spans="1:2" ht="13.8" x14ac:dyDescent="0.3">
      <c r="A2114" s="101"/>
      <c r="B2114" s="102"/>
    </row>
    <row r="2115" spans="1:2" ht="13.8" x14ac:dyDescent="0.3">
      <c r="A2115" s="101"/>
      <c r="B2115" s="102"/>
    </row>
    <row r="2116" spans="1:2" ht="13.8" x14ac:dyDescent="0.3">
      <c r="A2116" s="101"/>
      <c r="B2116" s="102"/>
    </row>
    <row r="2117" spans="1:2" ht="13.8" x14ac:dyDescent="0.3">
      <c r="A2117" s="101"/>
      <c r="B2117" s="102"/>
    </row>
    <row r="2118" spans="1:2" ht="13.8" x14ac:dyDescent="0.3">
      <c r="A2118" s="101"/>
      <c r="B2118" s="102"/>
    </row>
    <row r="2119" spans="1:2" ht="13.8" x14ac:dyDescent="0.3">
      <c r="A2119" s="101"/>
      <c r="B2119" s="102"/>
    </row>
    <row r="2120" spans="1:2" ht="13.8" x14ac:dyDescent="0.3">
      <c r="A2120" s="101"/>
      <c r="B2120" s="102"/>
    </row>
    <row r="2121" spans="1:2" ht="13.8" x14ac:dyDescent="0.3">
      <c r="A2121" s="101"/>
      <c r="B2121" s="102"/>
    </row>
    <row r="2122" spans="1:2" ht="13.8" x14ac:dyDescent="0.3">
      <c r="A2122" s="101"/>
      <c r="B2122" s="102"/>
    </row>
    <row r="2123" spans="1:2" ht="13.8" x14ac:dyDescent="0.3">
      <c r="A2123" s="101"/>
      <c r="B2123" s="102"/>
    </row>
    <row r="2124" spans="1:2" ht="13.8" x14ac:dyDescent="0.3">
      <c r="A2124" s="101"/>
      <c r="B2124" s="102"/>
    </row>
    <row r="2125" spans="1:2" ht="13.8" x14ac:dyDescent="0.3">
      <c r="A2125" s="101"/>
      <c r="B2125" s="102"/>
    </row>
    <row r="2126" spans="1:2" ht="13.8" x14ac:dyDescent="0.3">
      <c r="A2126" s="101"/>
      <c r="B2126" s="102"/>
    </row>
    <row r="2127" spans="1:2" ht="13.8" x14ac:dyDescent="0.3">
      <c r="A2127" s="101"/>
      <c r="B2127" s="102"/>
    </row>
    <row r="2128" spans="1:2" ht="13.8" x14ac:dyDescent="0.3">
      <c r="A2128" s="101"/>
      <c r="B2128" s="102"/>
    </row>
    <row r="2129" spans="1:2" ht="13.8" x14ac:dyDescent="0.3">
      <c r="A2129" s="101"/>
      <c r="B2129" s="102"/>
    </row>
    <row r="2130" spans="1:2" ht="13.8" x14ac:dyDescent="0.3">
      <c r="A2130" s="101"/>
      <c r="B2130" s="102"/>
    </row>
    <row r="2131" spans="1:2" ht="13.8" x14ac:dyDescent="0.3">
      <c r="A2131" s="101"/>
      <c r="B2131" s="102"/>
    </row>
    <row r="2132" spans="1:2" ht="13.8" x14ac:dyDescent="0.3">
      <c r="A2132" s="101"/>
      <c r="B2132" s="102"/>
    </row>
    <row r="2133" spans="1:2" ht="13.8" x14ac:dyDescent="0.3">
      <c r="A2133" s="101"/>
      <c r="B2133" s="102"/>
    </row>
    <row r="2134" spans="1:2" ht="13.8" x14ac:dyDescent="0.3">
      <c r="A2134" s="101"/>
      <c r="B2134" s="102"/>
    </row>
    <row r="2135" spans="1:2" ht="13.8" x14ac:dyDescent="0.3">
      <c r="A2135" s="101"/>
      <c r="B2135" s="102"/>
    </row>
    <row r="2136" spans="1:2" ht="13.8" x14ac:dyDescent="0.3">
      <c r="A2136" s="101"/>
      <c r="B2136" s="102"/>
    </row>
    <row r="2137" spans="1:2" ht="13.8" x14ac:dyDescent="0.3">
      <c r="A2137" s="101"/>
      <c r="B2137" s="102"/>
    </row>
    <row r="2138" spans="1:2" ht="13.8" x14ac:dyDescent="0.3">
      <c r="A2138" s="101"/>
      <c r="B2138" s="102"/>
    </row>
    <row r="2139" spans="1:2" ht="13.8" x14ac:dyDescent="0.3">
      <c r="A2139" s="101"/>
      <c r="B2139" s="102"/>
    </row>
    <row r="2140" spans="1:2" ht="13.8" x14ac:dyDescent="0.3">
      <c r="A2140" s="101"/>
      <c r="B2140" s="102"/>
    </row>
    <row r="2141" spans="1:2" ht="13.8" x14ac:dyDescent="0.3">
      <c r="A2141" s="101"/>
      <c r="B2141" s="102"/>
    </row>
    <row r="2142" spans="1:2" ht="13.8" x14ac:dyDescent="0.3">
      <c r="A2142" s="101"/>
      <c r="B2142" s="102"/>
    </row>
    <row r="2143" spans="1:2" ht="13.8" x14ac:dyDescent="0.3">
      <c r="A2143" s="101"/>
      <c r="B2143" s="102"/>
    </row>
    <row r="2144" spans="1:2" ht="13.8" x14ac:dyDescent="0.3">
      <c r="A2144" s="101"/>
      <c r="B2144" s="102"/>
    </row>
    <row r="2145" spans="1:2" ht="13.8" x14ac:dyDescent="0.3">
      <c r="A2145" s="101"/>
      <c r="B2145" s="102"/>
    </row>
    <row r="2146" spans="1:2" ht="13.8" x14ac:dyDescent="0.3">
      <c r="A2146" s="101"/>
      <c r="B2146" s="102"/>
    </row>
    <row r="2147" spans="1:2" ht="13.8" x14ac:dyDescent="0.3">
      <c r="A2147" s="101"/>
      <c r="B2147" s="102"/>
    </row>
    <row r="2148" spans="1:2" ht="13.8" x14ac:dyDescent="0.3">
      <c r="A2148" s="101"/>
      <c r="B2148" s="102"/>
    </row>
    <row r="2149" spans="1:2" ht="13.8" x14ac:dyDescent="0.3">
      <c r="A2149" s="101"/>
      <c r="B2149" s="102"/>
    </row>
    <row r="2150" spans="1:2" ht="13.8" x14ac:dyDescent="0.3">
      <c r="A2150" s="101"/>
      <c r="B2150" s="102"/>
    </row>
    <row r="2151" spans="1:2" ht="13.8" x14ac:dyDescent="0.3">
      <c r="A2151" s="101"/>
      <c r="B2151" s="102"/>
    </row>
    <row r="2152" spans="1:2" ht="13.8" x14ac:dyDescent="0.3">
      <c r="A2152" s="101"/>
      <c r="B2152" s="102"/>
    </row>
    <row r="2153" spans="1:2" ht="13.8" x14ac:dyDescent="0.3">
      <c r="A2153" s="101"/>
      <c r="B2153" s="102"/>
    </row>
    <row r="2154" spans="1:2" ht="13.8" x14ac:dyDescent="0.3">
      <c r="A2154" s="101"/>
      <c r="B2154" s="102"/>
    </row>
    <row r="2155" spans="1:2" ht="13.8" x14ac:dyDescent="0.3">
      <c r="A2155" s="101"/>
      <c r="B2155" s="102"/>
    </row>
    <row r="2156" spans="1:2" ht="13.8" x14ac:dyDescent="0.3">
      <c r="A2156" s="101"/>
      <c r="B2156" s="102"/>
    </row>
    <row r="2157" spans="1:2" ht="13.8" x14ac:dyDescent="0.3">
      <c r="A2157" s="101"/>
      <c r="B2157" s="102"/>
    </row>
    <row r="2158" spans="1:2" ht="13.8" x14ac:dyDescent="0.3">
      <c r="A2158" s="101"/>
      <c r="B2158" s="102"/>
    </row>
    <row r="2159" spans="1:2" ht="13.8" x14ac:dyDescent="0.3">
      <c r="A2159" s="101"/>
      <c r="B2159" s="102"/>
    </row>
    <row r="2160" spans="1:2" ht="13.8" x14ac:dyDescent="0.3">
      <c r="A2160" s="101"/>
      <c r="B2160" s="102"/>
    </row>
    <row r="2161" spans="1:2" ht="13.8" x14ac:dyDescent="0.3">
      <c r="A2161" s="101"/>
      <c r="B2161" s="102"/>
    </row>
    <row r="2162" spans="1:2" ht="13.8" x14ac:dyDescent="0.3">
      <c r="A2162" s="101"/>
      <c r="B2162" s="102"/>
    </row>
    <row r="2163" spans="1:2" ht="13.8" x14ac:dyDescent="0.3">
      <c r="A2163" s="101"/>
      <c r="B2163" s="102"/>
    </row>
    <row r="2164" spans="1:2" ht="13.8" x14ac:dyDescent="0.3">
      <c r="A2164" s="101"/>
      <c r="B2164" s="102"/>
    </row>
    <row r="2165" spans="1:2" ht="13.8" x14ac:dyDescent="0.3">
      <c r="A2165" s="101"/>
      <c r="B2165" s="102"/>
    </row>
    <row r="2166" spans="1:2" ht="13.8" x14ac:dyDescent="0.3">
      <c r="A2166" s="101"/>
      <c r="B2166" s="102"/>
    </row>
    <row r="2167" spans="1:2" ht="13.8" x14ac:dyDescent="0.3">
      <c r="A2167" s="101"/>
      <c r="B2167" s="102"/>
    </row>
    <row r="2168" spans="1:2" ht="13.8" x14ac:dyDescent="0.3">
      <c r="A2168" s="101"/>
      <c r="B2168" s="102"/>
    </row>
    <row r="2169" spans="1:2" ht="13.8" x14ac:dyDescent="0.3">
      <c r="A2169" s="101"/>
      <c r="B2169" s="102"/>
    </row>
    <row r="2170" spans="1:2" ht="13.8" x14ac:dyDescent="0.3">
      <c r="A2170" s="101"/>
      <c r="B2170" s="102"/>
    </row>
    <row r="2171" spans="1:2" ht="13.8" x14ac:dyDescent="0.3">
      <c r="A2171" s="101"/>
      <c r="B2171" s="102"/>
    </row>
    <row r="2172" spans="1:2" ht="13.8" x14ac:dyDescent="0.3">
      <c r="A2172" s="101"/>
      <c r="B2172" s="102"/>
    </row>
    <row r="2173" spans="1:2" ht="13.8" x14ac:dyDescent="0.3">
      <c r="A2173" s="101"/>
      <c r="B2173" s="102"/>
    </row>
    <row r="2174" spans="1:2" ht="13.8" x14ac:dyDescent="0.3">
      <c r="A2174" s="101"/>
      <c r="B2174" s="102"/>
    </row>
    <row r="2175" spans="1:2" ht="13.8" x14ac:dyDescent="0.3">
      <c r="A2175" s="101"/>
      <c r="B2175" s="102"/>
    </row>
    <row r="2176" spans="1:2" ht="13.8" x14ac:dyDescent="0.3">
      <c r="A2176" s="101"/>
      <c r="B2176" s="102"/>
    </row>
    <row r="2177" spans="1:2" ht="13.8" x14ac:dyDescent="0.3">
      <c r="A2177" s="101"/>
      <c r="B2177" s="102"/>
    </row>
    <row r="2178" spans="1:2" ht="13.8" x14ac:dyDescent="0.3">
      <c r="A2178" s="101"/>
      <c r="B2178" s="102"/>
    </row>
    <row r="2179" spans="1:2" ht="13.8" x14ac:dyDescent="0.3">
      <c r="A2179" s="101"/>
      <c r="B2179" s="102"/>
    </row>
    <row r="2180" spans="1:2" ht="13.8" x14ac:dyDescent="0.3">
      <c r="A2180" s="101"/>
      <c r="B2180" s="102"/>
    </row>
    <row r="2181" spans="1:2" ht="13.8" x14ac:dyDescent="0.3">
      <c r="A2181" s="101"/>
      <c r="B2181" s="102"/>
    </row>
    <row r="2182" spans="1:2" ht="13.8" x14ac:dyDescent="0.3">
      <c r="A2182" s="101"/>
      <c r="B2182" s="102"/>
    </row>
    <row r="2183" spans="1:2" ht="13.8" x14ac:dyDescent="0.3">
      <c r="A2183" s="101"/>
      <c r="B2183" s="102"/>
    </row>
    <row r="2184" spans="1:2" ht="13.8" x14ac:dyDescent="0.3">
      <c r="A2184" s="101"/>
      <c r="B2184" s="102"/>
    </row>
    <row r="2185" spans="1:2" ht="13.8" x14ac:dyDescent="0.3">
      <c r="A2185" s="101"/>
      <c r="B2185" s="102"/>
    </row>
    <row r="2186" spans="1:2" ht="13.8" x14ac:dyDescent="0.3">
      <c r="A2186" s="101"/>
      <c r="B2186" s="102"/>
    </row>
    <row r="2187" spans="1:2" ht="13.8" x14ac:dyDescent="0.3">
      <c r="A2187" s="101"/>
      <c r="B2187" s="102"/>
    </row>
    <row r="2188" spans="1:2" ht="13.8" x14ac:dyDescent="0.3">
      <c r="A2188" s="101"/>
      <c r="B2188" s="102"/>
    </row>
    <row r="2189" spans="1:2" ht="13.8" x14ac:dyDescent="0.3">
      <c r="A2189" s="101"/>
      <c r="B2189" s="102"/>
    </row>
    <row r="2190" spans="1:2" ht="13.8" x14ac:dyDescent="0.3">
      <c r="A2190" s="101"/>
      <c r="B2190" s="102"/>
    </row>
    <row r="2191" spans="1:2" ht="13.8" x14ac:dyDescent="0.3">
      <c r="A2191" s="101"/>
      <c r="B2191" s="102"/>
    </row>
    <row r="2192" spans="1:2" ht="13.8" x14ac:dyDescent="0.3">
      <c r="A2192" s="101"/>
      <c r="B2192" s="102"/>
    </row>
    <row r="2193" spans="1:2" ht="13.8" x14ac:dyDescent="0.3">
      <c r="A2193" s="101"/>
      <c r="B2193" s="102"/>
    </row>
    <row r="2194" spans="1:2" ht="13.8" x14ac:dyDescent="0.3">
      <c r="A2194" s="101"/>
      <c r="B2194" s="102"/>
    </row>
    <row r="2195" spans="1:2" ht="13.8" x14ac:dyDescent="0.3">
      <c r="A2195" s="101"/>
      <c r="B2195" s="102"/>
    </row>
    <row r="2196" spans="1:2" ht="13.8" x14ac:dyDescent="0.3">
      <c r="A2196" s="101"/>
      <c r="B2196" s="102"/>
    </row>
    <row r="2197" spans="1:2" ht="13.8" x14ac:dyDescent="0.3">
      <c r="A2197" s="101"/>
      <c r="B2197" s="102"/>
    </row>
    <row r="2198" spans="1:2" ht="13.8" x14ac:dyDescent="0.3">
      <c r="A2198" s="101"/>
      <c r="B2198" s="102"/>
    </row>
    <row r="2199" spans="1:2" ht="13.8" x14ac:dyDescent="0.3">
      <c r="A2199" s="101"/>
      <c r="B2199" s="102"/>
    </row>
    <row r="2200" spans="1:2" ht="13.8" x14ac:dyDescent="0.3">
      <c r="A2200" s="101"/>
      <c r="B2200" s="102"/>
    </row>
    <row r="2201" spans="1:2" ht="13.8" x14ac:dyDescent="0.3">
      <c r="A2201" s="101"/>
      <c r="B2201" s="102"/>
    </row>
    <row r="2202" spans="1:2" ht="13.8" x14ac:dyDescent="0.3">
      <c r="A2202" s="101"/>
      <c r="B2202" s="102"/>
    </row>
    <row r="2203" spans="1:2" ht="13.8" x14ac:dyDescent="0.3">
      <c r="A2203" s="101"/>
      <c r="B2203" s="102"/>
    </row>
    <row r="2204" spans="1:2" ht="13.8" x14ac:dyDescent="0.3">
      <c r="A2204" s="101"/>
      <c r="B2204" s="102"/>
    </row>
    <row r="2205" spans="1:2" ht="13.8" x14ac:dyDescent="0.3">
      <c r="A2205" s="101"/>
      <c r="B2205" s="102"/>
    </row>
    <row r="2206" spans="1:2" ht="13.8" x14ac:dyDescent="0.3">
      <c r="A2206" s="101"/>
      <c r="B2206" s="102"/>
    </row>
    <row r="2207" spans="1:2" ht="13.8" x14ac:dyDescent="0.3">
      <c r="A2207" s="101"/>
      <c r="B2207" s="102"/>
    </row>
    <row r="2208" spans="1:2" ht="13.8" x14ac:dyDescent="0.3">
      <c r="A2208" s="101"/>
      <c r="B2208" s="102"/>
    </row>
    <row r="2209" spans="1:2" ht="13.8" x14ac:dyDescent="0.3">
      <c r="A2209" s="101"/>
      <c r="B2209" s="102"/>
    </row>
    <row r="2210" spans="1:2" ht="13.8" x14ac:dyDescent="0.3">
      <c r="A2210" s="101"/>
      <c r="B2210" s="102"/>
    </row>
    <row r="2211" spans="1:2" ht="13.8" x14ac:dyDescent="0.3">
      <c r="A2211" s="101"/>
      <c r="B2211" s="102"/>
    </row>
    <row r="2212" spans="1:2" ht="13.8" x14ac:dyDescent="0.3">
      <c r="A2212" s="101"/>
      <c r="B2212" s="102"/>
    </row>
    <row r="2213" spans="1:2" ht="13.8" x14ac:dyDescent="0.3">
      <c r="A2213" s="101"/>
      <c r="B2213" s="102"/>
    </row>
    <row r="2214" spans="1:2" ht="13.8" x14ac:dyDescent="0.3">
      <c r="A2214" s="101"/>
      <c r="B2214" s="102"/>
    </row>
    <row r="2215" spans="1:2" ht="13.8" x14ac:dyDescent="0.3">
      <c r="A2215" s="101"/>
      <c r="B2215" s="102"/>
    </row>
    <row r="2216" spans="1:2" ht="13.8" x14ac:dyDescent="0.3">
      <c r="A2216" s="101"/>
      <c r="B2216" s="102"/>
    </row>
    <row r="2217" spans="1:2" ht="13.8" x14ac:dyDescent="0.3">
      <c r="A2217" s="101"/>
      <c r="B2217" s="102"/>
    </row>
    <row r="2218" spans="1:2" ht="13.8" x14ac:dyDescent="0.3">
      <c r="A2218" s="101"/>
      <c r="B2218" s="102"/>
    </row>
    <row r="2219" spans="1:2" ht="13.8" x14ac:dyDescent="0.3">
      <c r="A2219" s="101"/>
      <c r="B2219" s="102"/>
    </row>
    <row r="2220" spans="1:2" ht="13.8" x14ac:dyDescent="0.3">
      <c r="A2220" s="101"/>
      <c r="B2220" s="102"/>
    </row>
    <row r="2221" spans="1:2" ht="13.8" x14ac:dyDescent="0.3">
      <c r="A2221" s="101"/>
      <c r="B2221" s="102"/>
    </row>
    <row r="2222" spans="1:2" ht="13.8" x14ac:dyDescent="0.3">
      <c r="A2222" s="101"/>
      <c r="B2222" s="102"/>
    </row>
    <row r="2223" spans="1:2" ht="13.8" x14ac:dyDescent="0.3">
      <c r="A2223" s="101"/>
      <c r="B2223" s="102"/>
    </row>
    <row r="2224" spans="1:2" ht="13.8" x14ac:dyDescent="0.3">
      <c r="A2224" s="101"/>
      <c r="B2224" s="102"/>
    </row>
    <row r="2225" spans="1:2" ht="13.8" x14ac:dyDescent="0.3">
      <c r="A2225" s="101"/>
      <c r="B2225" s="102"/>
    </row>
    <row r="2226" spans="1:2" ht="13.8" x14ac:dyDescent="0.3">
      <c r="A2226" s="101"/>
      <c r="B2226" s="102"/>
    </row>
    <row r="2227" spans="1:2" ht="13.8" x14ac:dyDescent="0.3">
      <c r="A2227" s="101"/>
      <c r="B2227" s="102"/>
    </row>
    <row r="2228" spans="1:2" ht="13.8" x14ac:dyDescent="0.3">
      <c r="A2228" s="101"/>
      <c r="B2228" s="102"/>
    </row>
    <row r="2229" spans="1:2" ht="13.8" x14ac:dyDescent="0.3">
      <c r="A2229" s="101"/>
      <c r="B2229" s="102"/>
    </row>
    <row r="2230" spans="1:2" ht="13.8" x14ac:dyDescent="0.3">
      <c r="A2230" s="101"/>
      <c r="B2230" s="102"/>
    </row>
    <row r="2231" spans="1:2" ht="13.8" x14ac:dyDescent="0.3">
      <c r="A2231" s="101"/>
      <c r="B2231" s="102"/>
    </row>
    <row r="2232" spans="1:2" ht="13.8" x14ac:dyDescent="0.3">
      <c r="A2232" s="101"/>
      <c r="B2232" s="102"/>
    </row>
    <row r="2233" spans="1:2" ht="13.8" x14ac:dyDescent="0.3">
      <c r="A2233" s="101"/>
      <c r="B2233" s="102"/>
    </row>
    <row r="2234" spans="1:2" ht="13.8" x14ac:dyDescent="0.3">
      <c r="A2234" s="101"/>
      <c r="B2234" s="102"/>
    </row>
    <row r="2235" spans="1:2" ht="13.8" x14ac:dyDescent="0.3">
      <c r="A2235" s="101"/>
      <c r="B2235" s="102"/>
    </row>
    <row r="2236" spans="1:2" ht="13.8" x14ac:dyDescent="0.3">
      <c r="A2236" s="101"/>
      <c r="B2236" s="102"/>
    </row>
    <row r="2237" spans="1:2" ht="13.8" x14ac:dyDescent="0.3">
      <c r="A2237" s="101"/>
      <c r="B2237" s="102"/>
    </row>
    <row r="2238" spans="1:2" ht="13.8" x14ac:dyDescent="0.3">
      <c r="A2238" s="101"/>
      <c r="B2238" s="102"/>
    </row>
    <row r="2239" spans="1:2" ht="13.8" x14ac:dyDescent="0.3">
      <c r="A2239" s="101"/>
      <c r="B2239" s="102"/>
    </row>
    <row r="2240" spans="1:2" ht="13.8" x14ac:dyDescent="0.3">
      <c r="A2240" s="101"/>
      <c r="B2240" s="102"/>
    </row>
    <row r="2241" spans="1:2" ht="13.8" x14ac:dyDescent="0.3">
      <c r="A2241" s="101"/>
      <c r="B2241" s="102"/>
    </row>
    <row r="2242" spans="1:2" ht="13.8" x14ac:dyDescent="0.3">
      <c r="A2242" s="101"/>
      <c r="B2242" s="102"/>
    </row>
    <row r="2243" spans="1:2" ht="13.8" x14ac:dyDescent="0.3">
      <c r="A2243" s="101"/>
      <c r="B2243" s="102"/>
    </row>
    <row r="2244" spans="1:2" ht="13.8" x14ac:dyDescent="0.3">
      <c r="A2244" s="101"/>
      <c r="B2244" s="102"/>
    </row>
    <row r="2245" spans="1:2" ht="13.8" x14ac:dyDescent="0.3">
      <c r="A2245" s="101"/>
      <c r="B2245" s="102"/>
    </row>
    <row r="2246" spans="1:2" ht="13.8" x14ac:dyDescent="0.3">
      <c r="A2246" s="101"/>
      <c r="B2246" s="102"/>
    </row>
    <row r="2247" spans="1:2" ht="13.8" x14ac:dyDescent="0.3">
      <c r="A2247" s="101"/>
      <c r="B2247" s="102"/>
    </row>
    <row r="2248" spans="1:2" ht="13.8" x14ac:dyDescent="0.3">
      <c r="A2248" s="101"/>
      <c r="B2248" s="102"/>
    </row>
    <row r="2249" spans="1:2" ht="13.8" x14ac:dyDescent="0.3">
      <c r="A2249" s="101"/>
      <c r="B2249" s="102"/>
    </row>
    <row r="2250" spans="1:2" ht="13.8" x14ac:dyDescent="0.3">
      <c r="A2250" s="101"/>
      <c r="B2250" s="102"/>
    </row>
    <row r="2251" spans="1:2" ht="13.8" x14ac:dyDescent="0.3">
      <c r="A2251" s="101"/>
      <c r="B2251" s="102"/>
    </row>
    <row r="2252" spans="1:2" ht="13.8" x14ac:dyDescent="0.3">
      <c r="A2252" s="101"/>
      <c r="B2252" s="102"/>
    </row>
    <row r="2253" spans="1:2" ht="13.8" x14ac:dyDescent="0.3">
      <c r="A2253" s="101"/>
      <c r="B2253" s="102"/>
    </row>
    <row r="2254" spans="1:2" ht="13.8" x14ac:dyDescent="0.3">
      <c r="A2254" s="101"/>
      <c r="B2254" s="102"/>
    </row>
    <row r="2255" spans="1:2" ht="13.8" x14ac:dyDescent="0.3">
      <c r="A2255" s="101"/>
      <c r="B2255" s="102"/>
    </row>
    <row r="2256" spans="1:2" ht="13.8" x14ac:dyDescent="0.3">
      <c r="A2256" s="101"/>
      <c r="B2256" s="102"/>
    </row>
    <row r="2257" spans="1:2" ht="13.8" x14ac:dyDescent="0.3">
      <c r="A2257" s="101"/>
      <c r="B2257" s="102"/>
    </row>
    <row r="2258" spans="1:2" ht="13.8" x14ac:dyDescent="0.3">
      <c r="A2258" s="101"/>
      <c r="B2258" s="102"/>
    </row>
    <row r="2259" spans="1:2" ht="13.8" x14ac:dyDescent="0.3">
      <c r="A2259" s="101"/>
      <c r="B2259" s="102"/>
    </row>
    <row r="2260" spans="1:2" ht="13.8" x14ac:dyDescent="0.3">
      <c r="A2260" s="101"/>
      <c r="B2260" s="102"/>
    </row>
    <row r="2261" spans="1:2" ht="13.8" x14ac:dyDescent="0.3">
      <c r="A2261" s="101"/>
      <c r="B2261" s="102"/>
    </row>
    <row r="2262" spans="1:2" ht="13.8" x14ac:dyDescent="0.3">
      <c r="A2262" s="101"/>
      <c r="B2262" s="102"/>
    </row>
    <row r="2263" spans="1:2" ht="13.8" x14ac:dyDescent="0.3">
      <c r="A2263" s="101"/>
      <c r="B2263" s="102"/>
    </row>
    <row r="2264" spans="1:2" ht="13.8" x14ac:dyDescent="0.3">
      <c r="A2264" s="101"/>
      <c r="B2264" s="102"/>
    </row>
    <row r="2265" spans="1:2" ht="13.8" x14ac:dyDescent="0.3">
      <c r="A2265" s="101"/>
      <c r="B2265" s="102"/>
    </row>
    <row r="2266" spans="1:2" ht="13.8" x14ac:dyDescent="0.3">
      <c r="A2266" s="101"/>
      <c r="B2266" s="102"/>
    </row>
    <row r="2267" spans="1:2" ht="13.8" x14ac:dyDescent="0.3">
      <c r="A2267" s="101"/>
      <c r="B2267" s="102"/>
    </row>
    <row r="2268" spans="1:2" ht="13.8" x14ac:dyDescent="0.3">
      <c r="A2268" s="101"/>
      <c r="B2268" s="102"/>
    </row>
    <row r="2269" spans="1:2" ht="13.8" x14ac:dyDescent="0.3">
      <c r="A2269" s="101"/>
      <c r="B2269" s="102"/>
    </row>
    <row r="2270" spans="1:2" ht="13.8" x14ac:dyDescent="0.3">
      <c r="A2270" s="101"/>
      <c r="B2270" s="102"/>
    </row>
    <row r="2271" spans="1:2" ht="13.8" x14ac:dyDescent="0.3">
      <c r="A2271" s="101"/>
      <c r="B2271" s="102"/>
    </row>
    <row r="2272" spans="1:2" ht="13.8" x14ac:dyDescent="0.3">
      <c r="A2272" s="101"/>
      <c r="B2272" s="102"/>
    </row>
    <row r="2273" spans="1:2" ht="13.8" x14ac:dyDescent="0.3">
      <c r="A2273" s="101"/>
      <c r="B2273" s="102"/>
    </row>
    <row r="2274" spans="1:2" ht="13.8" x14ac:dyDescent="0.3">
      <c r="A2274" s="101"/>
      <c r="B2274" s="102"/>
    </row>
    <row r="2275" spans="1:2" ht="13.8" x14ac:dyDescent="0.3">
      <c r="A2275" s="101"/>
      <c r="B2275" s="102"/>
    </row>
    <row r="2276" spans="1:2" ht="13.8" x14ac:dyDescent="0.3">
      <c r="A2276" s="101"/>
      <c r="B2276" s="102"/>
    </row>
    <row r="2277" spans="1:2" ht="13.8" x14ac:dyDescent="0.3">
      <c r="A2277" s="101"/>
      <c r="B2277" s="102"/>
    </row>
    <row r="2278" spans="1:2" ht="13.8" x14ac:dyDescent="0.3">
      <c r="A2278" s="101"/>
      <c r="B2278" s="102"/>
    </row>
    <row r="2279" spans="1:2" ht="13.8" x14ac:dyDescent="0.3">
      <c r="A2279" s="101"/>
      <c r="B2279" s="102"/>
    </row>
    <row r="2280" spans="1:2" ht="13.8" x14ac:dyDescent="0.3">
      <c r="A2280" s="101"/>
      <c r="B2280" s="102"/>
    </row>
    <row r="2281" spans="1:2" ht="13.8" x14ac:dyDescent="0.3">
      <c r="A2281" s="101"/>
      <c r="B2281" s="102"/>
    </row>
    <row r="2282" spans="1:2" ht="13.8" x14ac:dyDescent="0.3">
      <c r="A2282" s="101"/>
      <c r="B2282" s="102"/>
    </row>
    <row r="2283" spans="1:2" ht="13.8" x14ac:dyDescent="0.3">
      <c r="A2283" s="101"/>
      <c r="B2283" s="102"/>
    </row>
    <row r="2284" spans="1:2" ht="13.8" x14ac:dyDescent="0.3">
      <c r="A2284" s="101"/>
      <c r="B2284" s="102"/>
    </row>
    <row r="2285" spans="1:2" ht="13.8" x14ac:dyDescent="0.3">
      <c r="A2285" s="101"/>
      <c r="B2285" s="102"/>
    </row>
    <row r="2286" spans="1:2" ht="13.8" x14ac:dyDescent="0.3">
      <c r="A2286" s="101"/>
      <c r="B2286" s="102"/>
    </row>
    <row r="2287" spans="1:2" ht="13.8" x14ac:dyDescent="0.3">
      <c r="A2287" s="101"/>
      <c r="B2287" s="102"/>
    </row>
    <row r="2288" spans="1:2" ht="13.8" x14ac:dyDescent="0.3">
      <c r="A2288" s="101"/>
      <c r="B2288" s="102"/>
    </row>
    <row r="2289" spans="1:2" ht="13.8" x14ac:dyDescent="0.3">
      <c r="A2289" s="101"/>
      <c r="B2289" s="102"/>
    </row>
    <row r="2290" spans="1:2" ht="13.8" x14ac:dyDescent="0.3">
      <c r="A2290" s="101"/>
      <c r="B2290" s="102"/>
    </row>
    <row r="2291" spans="1:2" ht="13.8" x14ac:dyDescent="0.3">
      <c r="A2291" s="101"/>
      <c r="B2291" s="102"/>
    </row>
    <row r="2292" spans="1:2" ht="13.8" x14ac:dyDescent="0.3">
      <c r="A2292" s="101"/>
      <c r="B2292" s="102"/>
    </row>
    <row r="2293" spans="1:2" ht="13.8" x14ac:dyDescent="0.3">
      <c r="A2293" s="101"/>
      <c r="B2293" s="102"/>
    </row>
    <row r="2294" spans="1:2" ht="13.8" x14ac:dyDescent="0.3">
      <c r="A2294" s="101"/>
      <c r="B2294" s="102"/>
    </row>
    <row r="2295" spans="1:2" ht="13.8" x14ac:dyDescent="0.3">
      <c r="A2295" s="101"/>
      <c r="B2295" s="102"/>
    </row>
    <row r="2296" spans="1:2" ht="13.8" x14ac:dyDescent="0.3">
      <c r="A2296" s="101"/>
      <c r="B2296" s="102"/>
    </row>
    <row r="2297" spans="1:2" ht="13.8" x14ac:dyDescent="0.3">
      <c r="A2297" s="101"/>
      <c r="B2297" s="102"/>
    </row>
    <row r="2298" spans="1:2" ht="13.8" x14ac:dyDescent="0.3">
      <c r="A2298" s="101"/>
      <c r="B2298" s="102"/>
    </row>
    <row r="2299" spans="1:2" ht="13.8" x14ac:dyDescent="0.3">
      <c r="A2299" s="101"/>
      <c r="B2299" s="102"/>
    </row>
    <row r="2300" spans="1:2" ht="13.8" x14ac:dyDescent="0.3">
      <c r="A2300" s="101"/>
      <c r="B2300" s="102"/>
    </row>
    <row r="2301" spans="1:2" ht="13.8" x14ac:dyDescent="0.3">
      <c r="A2301" s="101"/>
      <c r="B2301" s="102"/>
    </row>
    <row r="2302" spans="1:2" ht="13.8" x14ac:dyDescent="0.3">
      <c r="A2302" s="101"/>
      <c r="B2302" s="102"/>
    </row>
    <row r="2303" spans="1:2" ht="13.8" x14ac:dyDescent="0.3">
      <c r="A2303" s="101"/>
      <c r="B2303" s="102"/>
    </row>
    <row r="2304" spans="1:2" ht="13.8" x14ac:dyDescent="0.3">
      <c r="A2304" s="101"/>
      <c r="B2304" s="102"/>
    </row>
    <row r="2305" spans="1:2" ht="13.8" x14ac:dyDescent="0.3">
      <c r="A2305" s="101"/>
      <c r="B2305" s="102"/>
    </row>
    <row r="2306" spans="1:2" ht="13.8" x14ac:dyDescent="0.3">
      <c r="A2306" s="101"/>
      <c r="B2306" s="102"/>
    </row>
    <row r="2307" spans="1:2" ht="13.8" x14ac:dyDescent="0.3">
      <c r="A2307" s="101"/>
      <c r="B2307" s="102"/>
    </row>
    <row r="2308" spans="1:2" ht="13.8" x14ac:dyDescent="0.3">
      <c r="A2308" s="101"/>
      <c r="B2308" s="102"/>
    </row>
    <row r="2309" spans="1:2" ht="13.8" x14ac:dyDescent="0.3">
      <c r="A2309" s="101"/>
      <c r="B2309" s="102"/>
    </row>
    <row r="2310" spans="1:2" ht="13.8" x14ac:dyDescent="0.3">
      <c r="A2310" s="101"/>
      <c r="B2310" s="102"/>
    </row>
    <row r="2311" spans="1:2" ht="13.8" x14ac:dyDescent="0.3">
      <c r="A2311" s="101"/>
      <c r="B2311" s="102"/>
    </row>
    <row r="2312" spans="1:2" ht="13.8" x14ac:dyDescent="0.3">
      <c r="A2312" s="101"/>
      <c r="B2312" s="102"/>
    </row>
    <row r="2313" spans="1:2" ht="13.8" x14ac:dyDescent="0.3">
      <c r="A2313" s="101"/>
      <c r="B2313" s="102"/>
    </row>
    <row r="2314" spans="1:2" ht="13.8" x14ac:dyDescent="0.3">
      <c r="A2314" s="101"/>
      <c r="B2314" s="102"/>
    </row>
    <row r="2315" spans="1:2" ht="13.8" x14ac:dyDescent="0.3">
      <c r="A2315" s="101"/>
      <c r="B2315" s="102"/>
    </row>
    <row r="2316" spans="1:2" ht="13.8" x14ac:dyDescent="0.3">
      <c r="A2316" s="101"/>
      <c r="B2316" s="102"/>
    </row>
    <row r="2317" spans="1:2" ht="13.8" x14ac:dyDescent="0.3">
      <c r="A2317" s="101"/>
      <c r="B2317" s="102"/>
    </row>
    <row r="2318" spans="1:2" ht="13.8" x14ac:dyDescent="0.3">
      <c r="A2318" s="101"/>
      <c r="B2318" s="102"/>
    </row>
    <row r="2319" spans="1:2" ht="13.8" x14ac:dyDescent="0.3">
      <c r="A2319" s="101"/>
      <c r="B2319" s="102"/>
    </row>
    <row r="2320" spans="1:2" ht="13.8" x14ac:dyDescent="0.3">
      <c r="A2320" s="101"/>
      <c r="B2320" s="102"/>
    </row>
    <row r="2321" spans="1:2" ht="13.8" x14ac:dyDescent="0.3">
      <c r="A2321" s="101"/>
      <c r="B2321" s="102"/>
    </row>
    <row r="2322" spans="1:2" ht="13.8" x14ac:dyDescent="0.3">
      <c r="A2322" s="101"/>
      <c r="B2322" s="102"/>
    </row>
    <row r="2323" spans="1:2" ht="13.8" x14ac:dyDescent="0.3">
      <c r="A2323" s="101"/>
      <c r="B2323" s="102"/>
    </row>
    <row r="2324" spans="1:2" ht="13.8" x14ac:dyDescent="0.3">
      <c r="A2324" s="101"/>
      <c r="B2324" s="102"/>
    </row>
    <row r="2325" spans="1:2" ht="13.8" x14ac:dyDescent="0.3">
      <c r="A2325" s="101"/>
      <c r="B2325" s="102"/>
    </row>
    <row r="2326" spans="1:2" ht="13.8" x14ac:dyDescent="0.3">
      <c r="A2326" s="101"/>
      <c r="B2326" s="102"/>
    </row>
    <row r="2327" spans="1:2" ht="13.8" x14ac:dyDescent="0.3">
      <c r="A2327" s="101"/>
      <c r="B2327" s="102"/>
    </row>
    <row r="2328" spans="1:2" ht="13.8" x14ac:dyDescent="0.3">
      <c r="A2328" s="101"/>
      <c r="B2328" s="102"/>
    </row>
    <row r="2329" spans="1:2" ht="13.8" x14ac:dyDescent="0.3">
      <c r="A2329" s="101"/>
      <c r="B2329" s="102"/>
    </row>
    <row r="2330" spans="1:2" ht="13.8" x14ac:dyDescent="0.3">
      <c r="A2330" s="101"/>
      <c r="B2330" s="102"/>
    </row>
    <row r="2331" spans="1:2" ht="13.8" x14ac:dyDescent="0.3">
      <c r="A2331" s="101"/>
      <c r="B2331" s="102"/>
    </row>
    <row r="2332" spans="1:2" ht="13.8" x14ac:dyDescent="0.3">
      <c r="A2332" s="101"/>
      <c r="B2332" s="102"/>
    </row>
    <row r="2333" spans="1:2" ht="13.8" x14ac:dyDescent="0.3">
      <c r="A2333" s="101"/>
      <c r="B2333" s="102"/>
    </row>
    <row r="2334" spans="1:2" ht="13.8" x14ac:dyDescent="0.3">
      <c r="A2334" s="101"/>
      <c r="B2334" s="102"/>
    </row>
    <row r="2335" spans="1:2" ht="13.8" x14ac:dyDescent="0.3">
      <c r="A2335" s="101"/>
      <c r="B2335" s="102"/>
    </row>
    <row r="2336" spans="1:2" ht="13.8" x14ac:dyDescent="0.3">
      <c r="A2336" s="101"/>
      <c r="B2336" s="102"/>
    </row>
    <row r="2337" spans="1:2" ht="13.8" x14ac:dyDescent="0.3">
      <c r="A2337" s="101"/>
      <c r="B2337" s="102"/>
    </row>
    <row r="2338" spans="1:2" ht="13.8" x14ac:dyDescent="0.3">
      <c r="A2338" s="101"/>
      <c r="B2338" s="102"/>
    </row>
    <row r="2339" spans="1:2" ht="13.8" x14ac:dyDescent="0.3">
      <c r="A2339" s="101"/>
      <c r="B2339" s="102"/>
    </row>
    <row r="2340" spans="1:2" ht="13.8" x14ac:dyDescent="0.3">
      <c r="A2340" s="101"/>
      <c r="B2340" s="102"/>
    </row>
    <row r="2341" spans="1:2" ht="13.8" x14ac:dyDescent="0.3">
      <c r="A2341" s="101"/>
      <c r="B2341" s="102"/>
    </row>
    <row r="2342" spans="1:2" ht="13.8" x14ac:dyDescent="0.3">
      <c r="A2342" s="101"/>
      <c r="B2342" s="102"/>
    </row>
    <row r="2343" spans="1:2" ht="13.8" x14ac:dyDescent="0.3">
      <c r="A2343" s="101"/>
      <c r="B2343" s="102"/>
    </row>
    <row r="2344" spans="1:2" ht="13.8" x14ac:dyDescent="0.3">
      <c r="A2344" s="101"/>
      <c r="B2344" s="102"/>
    </row>
    <row r="2345" spans="1:2" ht="13.8" x14ac:dyDescent="0.3">
      <c r="A2345" s="101"/>
      <c r="B2345" s="102"/>
    </row>
    <row r="2346" spans="1:2" ht="13.8" x14ac:dyDescent="0.3">
      <c r="A2346" s="101"/>
      <c r="B2346" s="102"/>
    </row>
    <row r="2347" spans="1:2" ht="13.8" x14ac:dyDescent="0.3">
      <c r="A2347" s="101"/>
      <c r="B2347" s="102"/>
    </row>
    <row r="2348" spans="1:2" ht="13.8" x14ac:dyDescent="0.3">
      <c r="A2348" s="101"/>
      <c r="B2348" s="102"/>
    </row>
    <row r="2349" spans="1:2" ht="13.8" x14ac:dyDescent="0.3">
      <c r="A2349" s="101"/>
      <c r="B2349" s="102"/>
    </row>
    <row r="2350" spans="1:2" ht="13.8" x14ac:dyDescent="0.3">
      <c r="A2350" s="101"/>
      <c r="B2350" s="102"/>
    </row>
    <row r="2351" spans="1:2" ht="13.8" x14ac:dyDescent="0.3">
      <c r="A2351" s="101"/>
      <c r="B2351" s="102"/>
    </row>
    <row r="2352" spans="1:2" ht="13.8" x14ac:dyDescent="0.3">
      <c r="A2352" s="101"/>
      <c r="B2352" s="102"/>
    </row>
    <row r="2353" spans="1:2" ht="13.8" x14ac:dyDescent="0.3">
      <c r="A2353" s="101"/>
      <c r="B2353" s="102"/>
    </row>
    <row r="2354" spans="1:2" ht="13.8" x14ac:dyDescent="0.3">
      <c r="A2354" s="101"/>
      <c r="B2354" s="102"/>
    </row>
    <row r="2355" spans="1:2" ht="13.8" x14ac:dyDescent="0.3">
      <c r="A2355" s="101"/>
      <c r="B2355" s="102"/>
    </row>
    <row r="2356" spans="1:2" ht="13.8" x14ac:dyDescent="0.3">
      <c r="A2356" s="101"/>
      <c r="B2356" s="102"/>
    </row>
    <row r="2357" spans="1:2" ht="13.8" x14ac:dyDescent="0.3">
      <c r="A2357" s="101"/>
      <c r="B2357" s="102"/>
    </row>
    <row r="2358" spans="1:2" ht="13.8" x14ac:dyDescent="0.3">
      <c r="A2358" s="101"/>
      <c r="B2358" s="102"/>
    </row>
    <row r="2359" spans="1:2" ht="13.8" x14ac:dyDescent="0.3">
      <c r="A2359" s="101"/>
      <c r="B2359" s="102"/>
    </row>
    <row r="2360" spans="1:2" ht="13.8" x14ac:dyDescent="0.3">
      <c r="A2360" s="101"/>
      <c r="B2360" s="102"/>
    </row>
    <row r="2361" spans="1:2" ht="13.8" x14ac:dyDescent="0.3">
      <c r="A2361" s="101"/>
      <c r="B2361" s="102"/>
    </row>
    <row r="2362" spans="1:2" ht="13.8" x14ac:dyDescent="0.3">
      <c r="A2362" s="101"/>
      <c r="B2362" s="102"/>
    </row>
    <row r="2363" spans="1:2" ht="13.8" x14ac:dyDescent="0.3">
      <c r="A2363" s="101"/>
      <c r="B2363" s="102"/>
    </row>
    <row r="2364" spans="1:2" ht="13.8" x14ac:dyDescent="0.3">
      <c r="A2364" s="101"/>
      <c r="B2364" s="102"/>
    </row>
    <row r="2365" spans="1:2" ht="13.8" x14ac:dyDescent="0.3">
      <c r="A2365" s="101"/>
      <c r="B2365" s="102"/>
    </row>
    <row r="2366" spans="1:2" ht="13.8" x14ac:dyDescent="0.3">
      <c r="A2366" s="101"/>
      <c r="B2366" s="102"/>
    </row>
    <row r="2367" spans="1:2" ht="13.8" x14ac:dyDescent="0.3">
      <c r="A2367" s="101"/>
      <c r="B2367" s="102"/>
    </row>
    <row r="2368" spans="1:2" ht="13.8" x14ac:dyDescent="0.3">
      <c r="A2368" s="101"/>
      <c r="B2368" s="102"/>
    </row>
    <row r="2369" spans="1:2" ht="13.8" x14ac:dyDescent="0.3">
      <c r="A2369" s="101"/>
      <c r="B2369" s="102"/>
    </row>
    <row r="2370" spans="1:2" ht="13.8" x14ac:dyDescent="0.3">
      <c r="A2370" s="101"/>
      <c r="B2370" s="102"/>
    </row>
    <row r="2371" spans="1:2" ht="13.8" x14ac:dyDescent="0.3">
      <c r="A2371" s="101"/>
      <c r="B2371" s="102"/>
    </row>
    <row r="2372" spans="1:2" ht="13.8" x14ac:dyDescent="0.3">
      <c r="A2372" s="101"/>
      <c r="B2372" s="102"/>
    </row>
    <row r="2373" spans="1:2" ht="13.8" x14ac:dyDescent="0.3">
      <c r="A2373" s="101"/>
      <c r="B2373" s="102"/>
    </row>
    <row r="2374" spans="1:2" ht="13.8" x14ac:dyDescent="0.3">
      <c r="A2374" s="101"/>
      <c r="B2374" s="102"/>
    </row>
    <row r="2375" spans="1:2" ht="13.8" x14ac:dyDescent="0.3">
      <c r="A2375" s="101"/>
      <c r="B2375" s="102"/>
    </row>
    <row r="2376" spans="1:2" ht="13.8" x14ac:dyDescent="0.3">
      <c r="A2376" s="101"/>
      <c r="B2376" s="102"/>
    </row>
    <row r="2377" spans="1:2" ht="13.8" x14ac:dyDescent="0.3">
      <c r="A2377" s="101"/>
      <c r="B2377" s="102"/>
    </row>
    <row r="2378" spans="1:2" ht="13.8" x14ac:dyDescent="0.3">
      <c r="A2378" s="101"/>
      <c r="B2378" s="102"/>
    </row>
    <row r="2379" spans="1:2" ht="13.8" x14ac:dyDescent="0.3">
      <c r="A2379" s="101"/>
      <c r="B2379" s="102"/>
    </row>
    <row r="2380" spans="1:2" ht="13.8" x14ac:dyDescent="0.3">
      <c r="A2380" s="101"/>
      <c r="B2380" s="102"/>
    </row>
    <row r="2381" spans="1:2" ht="13.8" x14ac:dyDescent="0.3">
      <c r="A2381" s="101"/>
      <c r="B2381" s="102"/>
    </row>
    <row r="2382" spans="1:2" ht="13.8" x14ac:dyDescent="0.3">
      <c r="A2382" s="101"/>
      <c r="B2382" s="102"/>
    </row>
    <row r="2383" spans="1:2" ht="13.8" x14ac:dyDescent="0.3">
      <c r="A2383" s="101"/>
      <c r="B2383" s="102"/>
    </row>
    <row r="2384" spans="1:2" ht="13.8" x14ac:dyDescent="0.3">
      <c r="A2384" s="101"/>
      <c r="B2384" s="102"/>
    </row>
    <row r="2385" spans="1:2" ht="13.8" x14ac:dyDescent="0.3">
      <c r="A2385" s="101"/>
      <c r="B2385" s="102"/>
    </row>
    <row r="2386" spans="1:2" ht="13.8" x14ac:dyDescent="0.3">
      <c r="A2386" s="101"/>
      <c r="B2386" s="102"/>
    </row>
    <row r="2387" spans="1:2" ht="13.8" x14ac:dyDescent="0.3">
      <c r="A2387" s="101"/>
      <c r="B2387" s="102"/>
    </row>
    <row r="2388" spans="1:2" ht="13.8" x14ac:dyDescent="0.3">
      <c r="A2388" s="101"/>
      <c r="B2388" s="102"/>
    </row>
    <row r="2389" spans="1:2" ht="13.8" x14ac:dyDescent="0.3">
      <c r="A2389" s="101"/>
      <c r="B2389" s="102"/>
    </row>
    <row r="2390" spans="1:2" ht="13.8" x14ac:dyDescent="0.3">
      <c r="A2390" s="101"/>
      <c r="B2390" s="102"/>
    </row>
    <row r="2391" spans="1:2" ht="13.8" x14ac:dyDescent="0.3">
      <c r="A2391" s="101"/>
      <c r="B2391" s="102"/>
    </row>
    <row r="2392" spans="1:2" ht="13.8" x14ac:dyDescent="0.3">
      <c r="A2392" s="101"/>
      <c r="B2392" s="102"/>
    </row>
    <row r="2393" spans="1:2" ht="13.8" x14ac:dyDescent="0.3">
      <c r="A2393" s="101"/>
      <c r="B2393" s="102"/>
    </row>
    <row r="2394" spans="1:2" ht="13.8" x14ac:dyDescent="0.3">
      <c r="A2394" s="101"/>
      <c r="B2394" s="102"/>
    </row>
    <row r="2395" spans="1:2" ht="13.8" x14ac:dyDescent="0.3">
      <c r="A2395" s="101"/>
      <c r="B2395" s="102"/>
    </row>
    <row r="2396" spans="1:2" ht="13.8" x14ac:dyDescent="0.3">
      <c r="A2396" s="101"/>
      <c r="B2396" s="102"/>
    </row>
    <row r="2397" spans="1:2" ht="13.8" x14ac:dyDescent="0.3">
      <c r="A2397" s="101"/>
      <c r="B2397" s="102"/>
    </row>
    <row r="2398" spans="1:2" ht="13.8" x14ac:dyDescent="0.3">
      <c r="A2398" s="101"/>
      <c r="B2398" s="102"/>
    </row>
    <row r="2399" spans="1:2" ht="13.8" x14ac:dyDescent="0.3">
      <c r="A2399" s="101"/>
      <c r="B2399" s="102"/>
    </row>
    <row r="2400" spans="1:2" ht="13.8" x14ac:dyDescent="0.3">
      <c r="A2400" s="101"/>
      <c r="B2400" s="102"/>
    </row>
    <row r="2401" spans="1:2" ht="13.8" x14ac:dyDescent="0.3">
      <c r="A2401" s="101"/>
      <c r="B2401" s="102"/>
    </row>
    <row r="2402" spans="1:2" ht="13.8" x14ac:dyDescent="0.3">
      <c r="A2402" s="101"/>
      <c r="B2402" s="102"/>
    </row>
    <row r="2403" spans="1:2" ht="13.8" x14ac:dyDescent="0.3">
      <c r="A2403" s="101"/>
      <c r="B2403" s="102"/>
    </row>
    <row r="2404" spans="1:2" ht="13.8" x14ac:dyDescent="0.3">
      <c r="A2404" s="101"/>
      <c r="B2404" s="102"/>
    </row>
    <row r="2405" spans="1:2" ht="13.8" x14ac:dyDescent="0.3">
      <c r="A2405" s="101"/>
      <c r="B2405" s="102"/>
    </row>
    <row r="2406" spans="1:2" ht="13.8" x14ac:dyDescent="0.3">
      <c r="A2406" s="101"/>
      <c r="B2406" s="102"/>
    </row>
    <row r="2407" spans="1:2" ht="13.8" x14ac:dyDescent="0.3">
      <c r="A2407" s="101"/>
      <c r="B2407" s="102"/>
    </row>
    <row r="2408" spans="1:2" ht="13.8" x14ac:dyDescent="0.3">
      <c r="A2408" s="101"/>
      <c r="B2408" s="102"/>
    </row>
    <row r="2409" spans="1:2" ht="13.8" x14ac:dyDescent="0.3">
      <c r="A2409" s="101"/>
      <c r="B2409" s="102"/>
    </row>
    <row r="2410" spans="1:2" ht="13.8" x14ac:dyDescent="0.3">
      <c r="A2410" s="101"/>
      <c r="B2410" s="102"/>
    </row>
    <row r="2411" spans="1:2" ht="13.8" x14ac:dyDescent="0.3">
      <c r="A2411" s="101"/>
      <c r="B2411" s="102"/>
    </row>
    <row r="2412" spans="1:2" ht="13.8" x14ac:dyDescent="0.3">
      <c r="A2412" s="101"/>
      <c r="B2412" s="102"/>
    </row>
    <row r="2413" spans="1:2" ht="13.8" x14ac:dyDescent="0.3">
      <c r="A2413" s="101"/>
      <c r="B2413" s="102"/>
    </row>
    <row r="2414" spans="1:2" ht="13.8" x14ac:dyDescent="0.3">
      <c r="A2414" s="101"/>
      <c r="B2414" s="102"/>
    </row>
    <row r="2415" spans="1:2" ht="13.8" x14ac:dyDescent="0.3">
      <c r="A2415" s="101"/>
      <c r="B2415" s="102"/>
    </row>
    <row r="2416" spans="1:2" ht="13.8" x14ac:dyDescent="0.3">
      <c r="A2416" s="101"/>
      <c r="B2416" s="102"/>
    </row>
    <row r="2417" spans="1:2" ht="13.8" x14ac:dyDescent="0.3">
      <c r="A2417" s="101"/>
      <c r="B2417" s="102"/>
    </row>
    <row r="2418" spans="1:2" ht="13.8" x14ac:dyDescent="0.3">
      <c r="A2418" s="101"/>
      <c r="B2418" s="102"/>
    </row>
    <row r="2419" spans="1:2" ht="13.8" x14ac:dyDescent="0.3">
      <c r="A2419" s="101"/>
      <c r="B2419" s="102"/>
    </row>
    <row r="2420" spans="1:2" ht="13.8" x14ac:dyDescent="0.3">
      <c r="A2420" s="101"/>
      <c r="B2420" s="102"/>
    </row>
    <row r="2421" spans="1:2" ht="13.8" x14ac:dyDescent="0.3">
      <c r="A2421" s="101"/>
      <c r="B2421" s="102"/>
    </row>
    <row r="2422" spans="1:2" ht="13.8" x14ac:dyDescent="0.3">
      <c r="A2422" s="101"/>
      <c r="B2422" s="102"/>
    </row>
    <row r="2423" spans="1:2" ht="13.8" x14ac:dyDescent="0.3">
      <c r="A2423" s="101"/>
      <c r="B2423" s="102"/>
    </row>
    <row r="2424" spans="1:2" ht="13.8" x14ac:dyDescent="0.3">
      <c r="A2424" s="101"/>
      <c r="B2424" s="102"/>
    </row>
    <row r="2425" spans="1:2" ht="13.8" x14ac:dyDescent="0.3">
      <c r="A2425" s="101"/>
      <c r="B2425" s="102"/>
    </row>
    <row r="2426" spans="1:2" ht="13.8" x14ac:dyDescent="0.3">
      <c r="A2426" s="101"/>
      <c r="B2426" s="102"/>
    </row>
    <row r="2427" spans="1:2" ht="13.8" x14ac:dyDescent="0.3">
      <c r="A2427" s="101"/>
      <c r="B2427" s="102"/>
    </row>
    <row r="2428" spans="1:2" ht="13.8" x14ac:dyDescent="0.3">
      <c r="A2428" s="101"/>
      <c r="B2428" s="102"/>
    </row>
    <row r="2429" spans="1:2" ht="13.8" x14ac:dyDescent="0.3">
      <c r="A2429" s="101"/>
      <c r="B2429" s="102"/>
    </row>
    <row r="2430" spans="1:2" ht="13.8" x14ac:dyDescent="0.3">
      <c r="A2430" s="101"/>
      <c r="B2430" s="102"/>
    </row>
    <row r="2431" spans="1:2" ht="13.8" x14ac:dyDescent="0.3">
      <c r="A2431" s="101"/>
      <c r="B2431" s="102"/>
    </row>
    <row r="2432" spans="1:2" ht="13.8" x14ac:dyDescent="0.3">
      <c r="A2432" s="101"/>
      <c r="B2432" s="102"/>
    </row>
    <row r="2433" spans="1:2" ht="13.8" x14ac:dyDescent="0.3">
      <c r="A2433" s="101"/>
      <c r="B2433" s="102"/>
    </row>
    <row r="2434" spans="1:2" ht="13.8" x14ac:dyDescent="0.3">
      <c r="A2434" s="101"/>
      <c r="B2434" s="102"/>
    </row>
    <row r="2435" spans="1:2" ht="13.8" x14ac:dyDescent="0.3">
      <c r="A2435" s="101"/>
      <c r="B2435" s="102"/>
    </row>
    <row r="2436" spans="1:2" ht="13.8" x14ac:dyDescent="0.3">
      <c r="A2436" s="101"/>
      <c r="B2436" s="102"/>
    </row>
    <row r="2437" spans="1:2" ht="13.8" x14ac:dyDescent="0.3">
      <c r="A2437" s="101"/>
      <c r="B2437" s="102"/>
    </row>
    <row r="2438" spans="1:2" ht="13.8" x14ac:dyDescent="0.3">
      <c r="A2438" s="101"/>
      <c r="B2438" s="102"/>
    </row>
    <row r="2439" spans="1:2" ht="13.8" x14ac:dyDescent="0.3">
      <c r="A2439" s="101"/>
      <c r="B2439" s="102"/>
    </row>
    <row r="2440" spans="1:2" ht="13.8" x14ac:dyDescent="0.3">
      <c r="A2440" s="101"/>
      <c r="B2440" s="102"/>
    </row>
    <row r="2441" spans="1:2" ht="13.8" x14ac:dyDescent="0.3">
      <c r="A2441" s="101"/>
      <c r="B2441" s="102"/>
    </row>
    <row r="2442" spans="1:2" ht="13.8" x14ac:dyDescent="0.3">
      <c r="A2442" s="101"/>
      <c r="B2442" s="102"/>
    </row>
    <row r="2443" spans="1:2" ht="13.8" x14ac:dyDescent="0.3">
      <c r="A2443" s="101"/>
      <c r="B2443" s="102"/>
    </row>
    <row r="2444" spans="1:2" ht="13.8" x14ac:dyDescent="0.3">
      <c r="A2444" s="101"/>
      <c r="B2444" s="102"/>
    </row>
    <row r="2445" spans="1:2" ht="13.8" x14ac:dyDescent="0.3">
      <c r="A2445" s="101"/>
      <c r="B2445" s="102"/>
    </row>
    <row r="2446" spans="1:2" ht="13.8" x14ac:dyDescent="0.3">
      <c r="A2446" s="101"/>
      <c r="B2446" s="102"/>
    </row>
    <row r="2447" spans="1:2" ht="13.8" x14ac:dyDescent="0.3">
      <c r="A2447" s="101"/>
      <c r="B2447" s="102"/>
    </row>
    <row r="2448" spans="1:2" ht="13.8" x14ac:dyDescent="0.3">
      <c r="A2448" s="101"/>
      <c r="B2448" s="102"/>
    </row>
    <row r="2449" spans="1:2" ht="13.8" x14ac:dyDescent="0.3">
      <c r="A2449" s="101"/>
      <c r="B2449" s="102"/>
    </row>
    <row r="2450" spans="1:2" ht="13.8" x14ac:dyDescent="0.3">
      <c r="A2450" s="101"/>
      <c r="B2450" s="102"/>
    </row>
    <row r="2451" spans="1:2" ht="13.8" x14ac:dyDescent="0.3">
      <c r="A2451" s="101"/>
      <c r="B2451" s="102"/>
    </row>
    <row r="2452" spans="1:2" ht="13.8" x14ac:dyDescent="0.3">
      <c r="A2452" s="101"/>
      <c r="B2452" s="102"/>
    </row>
    <row r="2453" spans="1:2" ht="13.8" x14ac:dyDescent="0.3">
      <c r="A2453" s="101"/>
      <c r="B2453" s="102"/>
    </row>
    <row r="2454" spans="1:2" ht="13.8" x14ac:dyDescent="0.3">
      <c r="A2454" s="101"/>
      <c r="B2454" s="102"/>
    </row>
    <row r="2455" spans="1:2" ht="13.8" x14ac:dyDescent="0.3">
      <c r="A2455" s="101"/>
      <c r="B2455" s="102"/>
    </row>
    <row r="2456" spans="1:2" ht="13.8" x14ac:dyDescent="0.3">
      <c r="A2456" s="101"/>
      <c r="B2456" s="102"/>
    </row>
    <row r="2457" spans="1:2" ht="13.8" x14ac:dyDescent="0.3">
      <c r="A2457" s="101"/>
      <c r="B2457" s="102"/>
    </row>
    <row r="2458" spans="1:2" ht="13.8" x14ac:dyDescent="0.3">
      <c r="A2458" s="101"/>
      <c r="B2458" s="102"/>
    </row>
    <row r="2459" spans="1:2" ht="13.8" x14ac:dyDescent="0.3">
      <c r="A2459" s="101"/>
      <c r="B2459" s="102"/>
    </row>
    <row r="2460" spans="1:2" ht="13.8" x14ac:dyDescent="0.3">
      <c r="A2460" s="101"/>
      <c r="B2460" s="102"/>
    </row>
    <row r="2461" spans="1:2" ht="13.8" x14ac:dyDescent="0.3">
      <c r="A2461" s="101"/>
      <c r="B2461" s="102"/>
    </row>
    <row r="2462" spans="1:2" ht="13.8" x14ac:dyDescent="0.3">
      <c r="A2462" s="101"/>
      <c r="B2462" s="102"/>
    </row>
    <row r="2463" spans="1:2" ht="13.8" x14ac:dyDescent="0.3">
      <c r="A2463" s="101"/>
      <c r="B2463" s="102"/>
    </row>
    <row r="2464" spans="1:2" ht="13.8" x14ac:dyDescent="0.3">
      <c r="A2464" s="101"/>
      <c r="B2464" s="102"/>
    </row>
    <row r="2465" spans="1:2" ht="13.8" x14ac:dyDescent="0.3">
      <c r="A2465" s="101"/>
      <c r="B2465" s="102"/>
    </row>
    <row r="2466" spans="1:2" ht="13.8" x14ac:dyDescent="0.3">
      <c r="A2466" s="101"/>
      <c r="B2466" s="102"/>
    </row>
    <row r="2467" spans="1:2" ht="13.8" x14ac:dyDescent="0.3">
      <c r="A2467" s="101"/>
      <c r="B2467" s="102"/>
    </row>
    <row r="2468" spans="1:2" ht="13.8" x14ac:dyDescent="0.3">
      <c r="A2468" s="101"/>
      <c r="B2468" s="102"/>
    </row>
    <row r="2469" spans="1:2" ht="13.8" x14ac:dyDescent="0.3">
      <c r="A2469" s="101"/>
      <c r="B2469" s="102"/>
    </row>
    <row r="2470" spans="1:2" ht="13.8" x14ac:dyDescent="0.3">
      <c r="A2470" s="101"/>
      <c r="B2470" s="102"/>
    </row>
    <row r="2471" spans="1:2" ht="13.8" x14ac:dyDescent="0.3">
      <c r="A2471" s="101"/>
      <c r="B2471" s="102"/>
    </row>
    <row r="2472" spans="1:2" ht="13.8" x14ac:dyDescent="0.3">
      <c r="A2472" s="101"/>
      <c r="B2472" s="102"/>
    </row>
    <row r="2473" spans="1:2" ht="13.8" x14ac:dyDescent="0.3">
      <c r="A2473" s="101"/>
      <c r="B2473" s="102"/>
    </row>
    <row r="2474" spans="1:2" ht="13.8" x14ac:dyDescent="0.3">
      <c r="A2474" s="101"/>
      <c r="B2474" s="102"/>
    </row>
    <row r="2475" spans="1:2" ht="13.8" x14ac:dyDescent="0.3">
      <c r="A2475" s="101"/>
      <c r="B2475" s="102"/>
    </row>
    <row r="2476" spans="1:2" ht="13.8" x14ac:dyDescent="0.3">
      <c r="A2476" s="101"/>
      <c r="B2476" s="102"/>
    </row>
    <row r="2477" spans="1:2" ht="13.8" x14ac:dyDescent="0.3">
      <c r="A2477" s="101"/>
      <c r="B2477" s="102"/>
    </row>
    <row r="2478" spans="1:2" ht="13.8" x14ac:dyDescent="0.3">
      <c r="A2478" s="101"/>
      <c r="B2478" s="102"/>
    </row>
    <row r="2479" spans="1:2" ht="13.8" x14ac:dyDescent="0.3">
      <c r="A2479" s="101"/>
      <c r="B2479" s="102"/>
    </row>
    <row r="2480" spans="1:2" ht="13.8" x14ac:dyDescent="0.3">
      <c r="A2480" s="101"/>
      <c r="B2480" s="102"/>
    </row>
    <row r="2481" spans="1:2" ht="13.8" x14ac:dyDescent="0.3">
      <c r="A2481" s="101"/>
      <c r="B2481" s="10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58EF-DA33-4354-B1CB-2C1E3766AF1B}">
  <dimension ref="B1:O35"/>
  <sheetViews>
    <sheetView zoomScale="70" zoomScaleNormal="70" workbookViewId="0">
      <selection activeCell="M24" sqref="M24"/>
    </sheetView>
  </sheetViews>
  <sheetFormatPr defaultColWidth="8.77734375" defaultRowHeight="13.8" x14ac:dyDescent="0.3"/>
  <cols>
    <col min="1" max="2" width="8.77734375" style="177"/>
    <col min="3" max="3" width="12.109375" style="177" customWidth="1"/>
    <col min="4" max="8" width="8.77734375" style="177"/>
    <col min="9" max="13" width="8.77734375" style="177" customWidth="1"/>
    <col min="14" max="15" width="20.33203125" style="177" customWidth="1"/>
    <col min="16" max="16384" width="8.77734375" style="177"/>
  </cols>
  <sheetData>
    <row r="1" spans="2:15" ht="25.8" x14ac:dyDescent="0.5">
      <c r="B1" s="178" t="s">
        <v>465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</row>
    <row r="2" spans="2:15" ht="15" thickBot="1" x14ac:dyDescent="0.35">
      <c r="B2" s="179"/>
      <c r="C2" s="179"/>
      <c r="D2" s="180" t="s">
        <v>421</v>
      </c>
      <c r="E2" s="180"/>
      <c r="F2" s="180"/>
      <c r="G2" s="180"/>
      <c r="H2" s="180"/>
      <c r="I2" s="181" t="s">
        <v>422</v>
      </c>
      <c r="J2" s="181"/>
      <c r="K2" s="181"/>
      <c r="L2" s="181"/>
      <c r="M2" s="181"/>
      <c r="N2" s="182" t="s">
        <v>275</v>
      </c>
      <c r="O2" s="182" t="s">
        <v>277</v>
      </c>
    </row>
    <row r="3" spans="2:15" ht="15" thickBot="1" x14ac:dyDescent="0.35">
      <c r="B3" s="183" t="s">
        <v>423</v>
      </c>
      <c r="C3" s="184"/>
      <c r="D3" s="185">
        <v>2021</v>
      </c>
      <c r="E3" s="185">
        <f t="shared" ref="E3:M3" si="0">D3+1</f>
        <v>2022</v>
      </c>
      <c r="F3" s="185">
        <f t="shared" si="0"/>
        <v>2023</v>
      </c>
      <c r="G3" s="185">
        <f t="shared" si="0"/>
        <v>2024</v>
      </c>
      <c r="H3" s="185">
        <f t="shared" si="0"/>
        <v>2025</v>
      </c>
      <c r="I3" s="186">
        <f t="shared" si="0"/>
        <v>2026</v>
      </c>
      <c r="J3" s="186">
        <f t="shared" si="0"/>
        <v>2027</v>
      </c>
      <c r="K3" s="186">
        <f t="shared" si="0"/>
        <v>2028</v>
      </c>
      <c r="L3" s="186">
        <f t="shared" si="0"/>
        <v>2029</v>
      </c>
      <c r="M3" s="186">
        <f t="shared" si="0"/>
        <v>2030</v>
      </c>
      <c r="N3" s="187">
        <v>2025</v>
      </c>
      <c r="O3" s="187">
        <v>2025</v>
      </c>
    </row>
    <row r="4" spans="2:15" x14ac:dyDescent="0.3"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</row>
    <row r="5" spans="2:15" ht="14.4" x14ac:dyDescent="0.3">
      <c r="B5" s="189" t="s">
        <v>424</v>
      </c>
      <c r="C5" s="184"/>
      <c r="D5" s="190"/>
      <c r="E5" s="190"/>
      <c r="F5" s="190"/>
      <c r="G5" s="190"/>
      <c r="H5" s="190"/>
      <c r="I5" s="191"/>
      <c r="J5" s="191"/>
      <c r="K5" s="191"/>
      <c r="L5" s="191"/>
      <c r="M5" s="191"/>
      <c r="N5" s="192"/>
      <c r="O5" s="192"/>
    </row>
    <row r="6" spans="2:15" ht="14.4" x14ac:dyDescent="0.3">
      <c r="B6" s="193" t="s">
        <v>425</v>
      </c>
      <c r="D6" s="194">
        <f>SUM(Model!H45:H49)/SUM(Model!H60:H61)</f>
        <v>3.3853883573945782</v>
      </c>
      <c r="E6" s="194">
        <f>SUM(Model!I45:I49)/SUM(Model!I60:I61)</f>
        <v>3.6606371441482155</v>
      </c>
      <c r="F6" s="194">
        <f>SUM(Model!J45:J49)/SUM(Model!J60:J61)</f>
        <v>3.3991759003351842</v>
      </c>
      <c r="G6" s="194">
        <f>SUM(Model!K45:K49)/SUM(Model!K60:K61)</f>
        <v>2.6104370143295075</v>
      </c>
      <c r="H6" s="194">
        <f>SUM(Model!L45:L49)/SUM(Model!L60:L61)</f>
        <v>2.4615435696193741</v>
      </c>
      <c r="I6" s="194">
        <f>SUM(Model!M45:M49)/SUM(Model!M60:M61)</f>
        <v>3.0166275979349759</v>
      </c>
      <c r="J6" s="194">
        <f>SUM(Model!N45:N49)/SUM(Model!N60:N61)</f>
        <v>3.4694735198097484</v>
      </c>
      <c r="K6" s="194">
        <f>SUM(Model!O45:O49)/SUM(Model!O60:O61)</f>
        <v>3.939290192083035</v>
      </c>
      <c r="L6" s="194">
        <f>SUM(Model!P45:P49)/SUM(Model!P60:P61)</f>
        <v>4.4243785736830841</v>
      </c>
      <c r="M6" s="194">
        <f>SUM(Model!Q45:Q49)/SUM(Model!Q60:Q61)</f>
        <v>4.9235977950837739</v>
      </c>
      <c r="N6" s="194">
        <f>250181/130338</f>
        <v>1.9194785864444752</v>
      </c>
      <c r="O6" s="194">
        <v>1.46</v>
      </c>
    </row>
    <row r="7" spans="2:15" ht="14.4" x14ac:dyDescent="0.3">
      <c r="B7" s="193" t="s">
        <v>426</v>
      </c>
      <c r="D7" s="194">
        <f>(SUM(Model!H45:H49)-Model!H48)/SUM(Model!H60:H61)</f>
        <v>2.1745029350006022</v>
      </c>
      <c r="E7" s="194">
        <f>(SUM(Model!I45:I49)-Model!I48)/SUM(Model!I60:I61)</f>
        <v>2.3025124265702668</v>
      </c>
      <c r="F7" s="194">
        <f>(SUM(Model!J45:J49)-Model!J48)/SUM(Model!J60:J61)</f>
        <v>2.303934004821949</v>
      </c>
      <c r="G7" s="194">
        <f>(SUM(Model!K45:K49)-Model!K48)/SUM(Model!K60:K61)</f>
        <v>1.6618450131888498</v>
      </c>
      <c r="H7" s="194">
        <f>(SUM(Model!L45:L49)-Model!L48)/SUM(Model!L60:L61)</f>
        <v>1.5374350574403708</v>
      </c>
      <c r="I7" s="194">
        <f>(SUM(Model!M45:M49)-Model!M48)/SUM(Model!M60:M61)</f>
        <v>1.8988301079621228</v>
      </c>
      <c r="J7" s="194">
        <f>(SUM(Model!N45:N49)-Model!N48)/SUM(Model!N60:N61)</f>
        <v>2.3113363767743857</v>
      </c>
      <c r="K7" s="194">
        <f>(SUM(Model!O45:O49)-Model!O48)/SUM(Model!O60:O61)</f>
        <v>2.7463702358558506</v>
      </c>
      <c r="L7" s="194">
        <f>(SUM(Model!P45:P49)-Model!P48)/SUM(Model!P60:P61)</f>
        <v>3.2015073420862126</v>
      </c>
      <c r="M7" s="194">
        <f>(SUM(Model!Q45:Q49)-Model!Q48)/SUM(Model!Q60:Q61)</f>
        <v>3.6749500400405526</v>
      </c>
      <c r="N7" s="194">
        <f>(250181-71085)/130338</f>
        <v>1.3740889073025517</v>
      </c>
      <c r="O7" s="194">
        <v>0.94</v>
      </c>
    </row>
    <row r="8" spans="2:15" ht="14.4" x14ac:dyDescent="0.3">
      <c r="B8" s="193" t="s">
        <v>427</v>
      </c>
      <c r="D8" s="194">
        <f>(Model!H45+Model!H46)/SUM(Model!H60:H61)</f>
        <v>1.0422786705834919</v>
      </c>
      <c r="E8" s="194">
        <f>(Model!I45+Model!I46)/SUM(Model!I60:I61)</f>
        <v>1.1651965657478536</v>
      </c>
      <c r="F8" s="194">
        <f>(Model!J45+Model!J46)/SUM(Model!J60:J61)</f>
        <v>1.0991733801527233</v>
      </c>
      <c r="G8" s="194">
        <f>(Model!K45+Model!K46)/SUM(Model!K60:K61)</f>
        <v>0.56296784772224995</v>
      </c>
      <c r="H8" s="194">
        <f>(Model!L45+Model!L46)/SUM(Model!L60:L61)</f>
        <v>0.49426861159685209</v>
      </c>
      <c r="I8" s="194">
        <f>(Model!M45+Model!M46)/SUM(Model!M60:M61)</f>
        <v>0.78468915180004772</v>
      </c>
      <c r="J8" s="194">
        <f>(Model!N45+Model!N46)/SUM(Model!N60:N61)</f>
        <v>1.1797000939426974</v>
      </c>
      <c r="K8" s="194">
        <f>(Model!O45+Model!O46)/SUM(Model!O60:O61)</f>
        <v>1.5996486304425306</v>
      </c>
      <c r="L8" s="194">
        <f>(Model!P45+Model!P46)/SUM(Model!P60:P61)</f>
        <v>2.0417958543367147</v>
      </c>
      <c r="M8" s="194">
        <f>(Model!Q45+Model!Q46)/SUM(Model!Q60:Q61)</f>
        <v>2.5040592618444566</v>
      </c>
      <c r="N8" s="194">
        <f>(14654+9948)/130338</f>
        <v>0.1887553898325891</v>
      </c>
      <c r="O8" s="194">
        <f>580/4717</f>
        <v>0.12295950816196735</v>
      </c>
    </row>
    <row r="9" spans="2:15" x14ac:dyDescent="0.3"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</row>
    <row r="10" spans="2:15" ht="14.4" x14ac:dyDescent="0.3">
      <c r="B10" s="189" t="s">
        <v>428</v>
      </c>
      <c r="C10" s="184"/>
      <c r="D10" s="195"/>
      <c r="E10" s="195"/>
      <c r="F10" s="195"/>
      <c r="G10" s="195"/>
      <c r="H10" s="195"/>
      <c r="I10" s="196"/>
      <c r="J10" s="196"/>
      <c r="K10" s="196"/>
      <c r="L10" s="196"/>
      <c r="M10" s="196"/>
      <c r="N10" s="197"/>
      <c r="O10" s="197"/>
    </row>
    <row r="11" spans="2:15" ht="14.4" x14ac:dyDescent="0.3">
      <c r="B11" s="193" t="s">
        <v>429</v>
      </c>
      <c r="D11" s="194">
        <f>Model!H63/Model!H69</f>
        <v>0.24292335492826769</v>
      </c>
      <c r="E11" s="194">
        <f>Model!I63/Model!I69</f>
        <v>0.30889336528554395</v>
      </c>
      <c r="F11" s="194">
        <f>Model!J63/Model!J69</f>
        <v>0.15440964302968724</v>
      </c>
      <c r="G11" s="194">
        <f>Model!K63/Model!K69</f>
        <v>0.13754865662147039</v>
      </c>
      <c r="H11" s="194">
        <f>Model!L63/Model!L69</f>
        <v>0.1152202735615822</v>
      </c>
      <c r="I11" s="194">
        <f>Model!M63/Model!M69</f>
        <v>0.10229332972083155</v>
      </c>
      <c r="J11" s="194">
        <f>Model!N63/Model!N69</f>
        <v>9.0993898302308168E-2</v>
      </c>
      <c r="K11" s="194">
        <f>Model!O63/Model!O69</f>
        <v>8.1194354061491142E-2</v>
      </c>
      <c r="L11" s="194">
        <f>Model!P63/Model!P69</f>
        <v>7.2731857878666512E-2</v>
      </c>
      <c r="M11" s="194">
        <f>Model!Q63/Model!Q69</f>
        <v>6.5435530556961566E-2</v>
      </c>
      <c r="N11" s="194">
        <v>0.12</v>
      </c>
      <c r="O11" s="194">
        <v>0.34</v>
      </c>
    </row>
    <row r="12" spans="2:15" ht="14.4" x14ac:dyDescent="0.3">
      <c r="B12" s="193" t="s">
        <v>430</v>
      </c>
      <c r="D12" s="194">
        <f>Model!H33/-Model!H34</f>
        <v>28.306347589952498</v>
      </c>
      <c r="E12" s="194">
        <f>Model!I33/-Model!I34</f>
        <v>33.39621920947107</v>
      </c>
      <c r="F12" s="194">
        <f>Model!J33/-Model!J34</f>
        <v>12.099757824143081</v>
      </c>
      <c r="G12" s="194">
        <f>Model!K33/-Model!K34</f>
        <v>17.313317320523087</v>
      </c>
      <c r="H12" s="194">
        <f>Model!L33/-Model!L34</f>
        <v>17.707395234182425</v>
      </c>
      <c r="I12" s="194">
        <f>Model!M33/-Model!M34</f>
        <v>28.150355170082943</v>
      </c>
      <c r="J12" s="194">
        <f>Model!N33/-Model!N34</f>
        <v>31.117599154489394</v>
      </c>
      <c r="K12" s="194">
        <f>Model!O33/-Model!O34</f>
        <v>33.969447470388054</v>
      </c>
      <c r="L12" s="194">
        <f>Model!P33/-Model!P34</f>
        <v>36.677312019111731</v>
      </c>
      <c r="M12" s="194">
        <f>Model!Q33/-Model!Q34</f>
        <v>39.221839542052756</v>
      </c>
      <c r="N12" s="194">
        <v>34.090000000000003</v>
      </c>
      <c r="O12" s="194">
        <f>(2697+252.31)/252.31</f>
        <v>11.689231500931394</v>
      </c>
    </row>
    <row r="13" spans="2:15" ht="14.4" x14ac:dyDescent="0.3">
      <c r="B13" s="193" t="s">
        <v>431</v>
      </c>
      <c r="D13" s="194">
        <f>Model!H69/Model!H56</f>
        <v>0.64038228150072152</v>
      </c>
      <c r="E13" s="194">
        <f>Model!I69/Model!I56</f>
        <v>0.61395858610197174</v>
      </c>
      <c r="F13" s="194">
        <f>Model!J69/Model!J56</f>
        <v>0.65752222746413924</v>
      </c>
      <c r="G13" s="194">
        <f>Model!K69/Model!K56</f>
        <v>0.66209478070485206</v>
      </c>
      <c r="H13" s="194">
        <f>Model!L69/Model!L56</f>
        <v>0.67745193911062629</v>
      </c>
      <c r="I13" s="194">
        <f>Model!M69/Model!M56</f>
        <v>0.70587566132959811</v>
      </c>
      <c r="J13" s="194">
        <f>Model!N69/Model!N56</f>
        <v>0.72417611790584124</v>
      </c>
      <c r="K13" s="194">
        <f>Model!O69/Model!O56</f>
        <v>0.7415644087461335</v>
      </c>
      <c r="L13" s="194">
        <f>Model!P69/Model!P56</f>
        <v>0.75790409303722517</v>
      </c>
      <c r="M13" s="194">
        <f>Model!Q69/Model!Q56</f>
        <v>0.77313346377124292</v>
      </c>
      <c r="N13" s="194">
        <f>339274/494226</f>
        <v>0.68647541812854851</v>
      </c>
      <c r="O13" s="194">
        <f>7590.69/14989.74</f>
        <v>0.50639237238270973</v>
      </c>
    </row>
    <row r="14" spans="2:15" x14ac:dyDescent="0.3"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</row>
    <row r="15" spans="2:15" ht="14.4" x14ac:dyDescent="0.3">
      <c r="B15" s="189" t="s">
        <v>432</v>
      </c>
      <c r="C15" s="184"/>
      <c r="D15" s="195"/>
      <c r="E15" s="195"/>
      <c r="F15" s="195"/>
      <c r="G15" s="195"/>
      <c r="H15" s="195"/>
      <c r="I15" s="196"/>
      <c r="J15" s="196"/>
      <c r="K15" s="196"/>
      <c r="L15" s="196"/>
      <c r="M15" s="196"/>
      <c r="N15" s="197"/>
      <c r="O15" s="197"/>
    </row>
    <row r="16" spans="2:15" ht="14.4" x14ac:dyDescent="0.3">
      <c r="B16" s="193" t="s">
        <v>433</v>
      </c>
      <c r="D16" s="194">
        <f>Model!H25/Model!H47</f>
        <v>5.5157757853671896</v>
      </c>
      <c r="E16" s="194">
        <f>Model!I25/Model!I47</f>
        <v>5.6426774912448261</v>
      </c>
      <c r="F16" s="194">
        <f>Model!J25/Model!J47</f>
        <v>5.4400941759138535</v>
      </c>
      <c r="G16" s="194">
        <f>Model!K25/Model!K47</f>
        <v>5.6230130370515052</v>
      </c>
      <c r="H16" s="194">
        <f>Model!L25/Model!L47</f>
        <v>5.2567744551444502</v>
      </c>
      <c r="I16" s="194">
        <f>Model!M25/Model!M47</f>
        <v>5.4920270883271529</v>
      </c>
      <c r="J16" s="194">
        <f>Model!N25/Model!N47</f>
        <v>5.4920270883271538</v>
      </c>
      <c r="K16" s="194">
        <f>Model!O25/Model!O47</f>
        <v>5.4920270883271538</v>
      </c>
      <c r="L16" s="194">
        <f>Model!P25/Model!P47</f>
        <v>5.4920270883271529</v>
      </c>
      <c r="M16" s="194">
        <f>Model!Q25/Model!Q47</f>
        <v>5.4920270883271538</v>
      </c>
      <c r="N16" s="194">
        <f>326439/90420</f>
        <v>3.6102521566025216</v>
      </c>
      <c r="O16" s="194">
        <f>11539.36/(1855)</f>
        <v>6.2206792452830193</v>
      </c>
    </row>
    <row r="17" spans="2:15" ht="14.4" x14ac:dyDescent="0.3">
      <c r="B17" s="193" t="s">
        <v>434</v>
      </c>
      <c r="D17" s="194">
        <f>365/D16</f>
        <v>66.173828343115233</v>
      </c>
      <c r="E17" s="194">
        <f t="shared" ref="E17:O17" si="1">365/E16</f>
        <v>64.685603699012347</v>
      </c>
      <c r="F17" s="194">
        <f t="shared" si="1"/>
        <v>67.094426713428277</v>
      </c>
      <c r="G17" s="194">
        <f t="shared" si="1"/>
        <v>64.911818200477114</v>
      </c>
      <c r="H17" s="194">
        <f t="shared" si="1"/>
        <v>69.434213530466224</v>
      </c>
      <c r="I17" s="194">
        <f t="shared" si="1"/>
        <v>66.459978097299839</v>
      </c>
      <c r="J17" s="194">
        <f t="shared" si="1"/>
        <v>66.459978097299825</v>
      </c>
      <c r="K17" s="194">
        <f t="shared" si="1"/>
        <v>66.459978097299825</v>
      </c>
      <c r="L17" s="194">
        <f t="shared" si="1"/>
        <v>66.459978097299839</v>
      </c>
      <c r="M17" s="194">
        <f t="shared" si="1"/>
        <v>66.459978097299825</v>
      </c>
      <c r="N17" s="194">
        <f t="shared" si="1"/>
        <v>101.10097139128597</v>
      </c>
      <c r="O17" s="194">
        <f t="shared" si="1"/>
        <v>58.675264486072017</v>
      </c>
    </row>
    <row r="18" spans="2:15" ht="14.4" x14ac:dyDescent="0.3">
      <c r="B18" s="193" t="s">
        <v>435</v>
      </c>
      <c r="D18" s="194">
        <f>-Model!H26/(AVERAGE(Model!G48:H48))</f>
        <v>1.5128868208472435</v>
      </c>
      <c r="E18" s="194">
        <f>-Model!I26/(AVERAGE(Model!H48:I48))</f>
        <v>1.5721374885529626</v>
      </c>
      <c r="F18" s="194">
        <f>-Model!J26/(AVERAGE(Model!I48:J48))</f>
        <v>1.7483654192187503</v>
      </c>
      <c r="G18" s="194">
        <f>-Model!K26/(AVERAGE(Model!J48:K48))</f>
        <v>1.8743031975568973</v>
      </c>
      <c r="H18" s="194">
        <f>-Model!L26/(AVERAGE(Model!K48:L48))</f>
        <v>1.7065221479370798</v>
      </c>
      <c r="I18" s="194">
        <f>-Model!M26/(AVERAGE(Model!L48:M48))</f>
        <v>1.7657148586772653</v>
      </c>
      <c r="J18" s="194">
        <f>-Model!N26/(AVERAGE(Model!M48:N48))</f>
        <v>1.7009804041864001</v>
      </c>
      <c r="K18" s="194">
        <f>-Model!O26/(AVERAGE(Model!N48:O48))</f>
        <v>1.6923436828646636</v>
      </c>
      <c r="L18" s="194">
        <f>-Model!P26/(AVERAGE(Model!O48:P48))</f>
        <v>1.6847517179962714</v>
      </c>
      <c r="M18" s="194">
        <f>-Model!Q26/(AVERAGE(Model!P48:Q48))</f>
        <v>1.6780867923176772</v>
      </c>
      <c r="N18" s="194">
        <v>0.84</v>
      </c>
      <c r="O18" s="194">
        <v>6.07</v>
      </c>
    </row>
    <row r="19" spans="2:15" ht="14.4" x14ac:dyDescent="0.3">
      <c r="B19" s="193" t="s">
        <v>436</v>
      </c>
      <c r="D19" s="194">
        <f>365/D18</f>
        <v>241.26061181205446</v>
      </c>
      <c r="E19" s="194">
        <f t="shared" ref="E19:O19" si="2">365/E18</f>
        <v>232.16798954139549</v>
      </c>
      <c r="F19" s="194">
        <f t="shared" si="2"/>
        <v>208.76642605016673</v>
      </c>
      <c r="G19" s="194">
        <f t="shared" si="2"/>
        <v>194.7390371396514</v>
      </c>
      <c r="H19" s="194">
        <f t="shared" si="2"/>
        <v>213.88529908107452</v>
      </c>
      <c r="I19" s="194">
        <f t="shared" si="2"/>
        <v>206.7151432782467</v>
      </c>
      <c r="J19" s="194">
        <f t="shared" si="2"/>
        <v>214.58213104729094</v>
      </c>
      <c r="K19" s="194">
        <f t="shared" si="2"/>
        <v>215.67723134236971</v>
      </c>
      <c r="L19" s="194">
        <f t="shared" si="2"/>
        <v>216.64913357922322</v>
      </c>
      <c r="M19" s="194">
        <f t="shared" si="2"/>
        <v>217.50960776938297</v>
      </c>
      <c r="N19" s="194">
        <f t="shared" si="2"/>
        <v>434.52380952380952</v>
      </c>
      <c r="O19" s="194">
        <f t="shared" si="2"/>
        <v>60.131795716639203</v>
      </c>
    </row>
    <row r="20" spans="2:15" ht="14.4" x14ac:dyDescent="0.3">
      <c r="B20" s="193" t="s">
        <v>437</v>
      </c>
      <c r="D20" s="194">
        <f>Model!H25/AVERAGE(Model!G55:H56)</f>
        <v>1.3959898210174577</v>
      </c>
      <c r="E20" s="194">
        <f>Model!I25/AVERAGE(Model!H55:I56)</f>
        <v>1.5077509405552094</v>
      </c>
      <c r="F20" s="194">
        <f>Model!J25/AVERAGE(Model!I55:J56)</f>
        <v>1.512239655734932</v>
      </c>
      <c r="G20" s="194">
        <f>Model!K25/AVERAGE(Model!J55:K56)</f>
        <v>1.5628626453820122</v>
      </c>
      <c r="H20" s="194">
        <f>Model!L25/AVERAGE(Model!K55:L56)</f>
        <v>1.4065401384622687</v>
      </c>
      <c r="I20" s="194">
        <f>Model!M25/AVERAGE(Model!L55:M56)</f>
        <v>1.4045401406203719</v>
      </c>
      <c r="J20" s="194">
        <f>Model!N25/AVERAGE(Model!M55:N56)</f>
        <v>1.4149373191785823</v>
      </c>
      <c r="K20" s="194">
        <f>Model!O25/AVERAGE(Model!N55:O56)</f>
        <v>1.4020147644358769</v>
      </c>
      <c r="L20" s="194">
        <f>Model!P25/AVERAGE(Model!O55:P56)</f>
        <v>1.3775365685459335</v>
      </c>
      <c r="M20" s="194">
        <f>Model!Q25/AVERAGE(Model!P55:Q56)</f>
        <v>1.3444955864391068</v>
      </c>
      <c r="N20" s="194">
        <v>0.74</v>
      </c>
      <c r="O20" s="194">
        <v>0.77</v>
      </c>
    </row>
    <row r="21" spans="2:15" ht="14.4" x14ac:dyDescent="0.3">
      <c r="B21" s="193" t="s">
        <v>438</v>
      </c>
      <c r="D21" s="194">
        <f>-Model!H26/AVERAGE(Model!G60:H60)</f>
        <v>3.2713926370615569</v>
      </c>
      <c r="E21" s="194">
        <f>-Model!I26/AVERAGE(Model!H60:I60)</f>
        <v>3.7277587290829719</v>
      </c>
      <c r="F21" s="194">
        <f>-Model!J26/AVERAGE(Model!I60:J60)</f>
        <v>4.1967678616483983</v>
      </c>
      <c r="G21" s="194">
        <f>-Model!K26/AVERAGE(Model!J60:K60)</f>
        <v>3.3898796140234042</v>
      </c>
      <c r="H21" s="194">
        <f>-Model!L26/AVERAGE(Model!K60:L60)</f>
        <v>2.6560556603957659</v>
      </c>
      <c r="I21" s="194">
        <f>-Model!M26/AVERAGE(Model!L60:M60)</f>
        <v>3.1248560769334777</v>
      </c>
      <c r="J21" s="194">
        <f>-Model!N26/AVERAGE(Model!M60:N60)</f>
        <v>3.3322507053678256</v>
      </c>
      <c r="K21" s="194">
        <f>-Model!O26/AVERAGE(Model!N60:O60)</f>
        <v>3.3153312154985786</v>
      </c>
      <c r="L21" s="194">
        <f>-Model!P26/AVERAGE(Model!O60:P60)</f>
        <v>3.300458422005152</v>
      </c>
      <c r="M21" s="194">
        <f>-Model!Q26/AVERAGE(Model!P60:Q60)</f>
        <v>3.2874017146856214</v>
      </c>
      <c r="N21" s="194">
        <f>(56835+48411)/(210+26268)</f>
        <v>3.9748470428280083</v>
      </c>
      <c r="O21" s="194">
        <f>(1520+1530)/1920</f>
        <v>1.5885416666666667</v>
      </c>
    </row>
    <row r="22" spans="2:15" ht="14.4" x14ac:dyDescent="0.3">
      <c r="B22" s="193" t="s">
        <v>439</v>
      </c>
      <c r="D22" s="194">
        <f>365/D21</f>
        <v>111.57327795658662</v>
      </c>
      <c r="E22" s="194">
        <f t="shared" ref="E22:M22" si="3">365/E21</f>
        <v>97.914062182288802</v>
      </c>
      <c r="F22" s="194">
        <f t="shared" si="3"/>
        <v>86.971691557091745</v>
      </c>
      <c r="G22" s="194">
        <f t="shared" si="3"/>
        <v>107.67344022780391</v>
      </c>
      <c r="H22" s="194">
        <f t="shared" si="3"/>
        <v>137.42181891836302</v>
      </c>
      <c r="I22" s="194">
        <f t="shared" si="3"/>
        <v>116.80537951629002</v>
      </c>
      <c r="J22" s="194">
        <f t="shared" si="3"/>
        <v>109.53557588330078</v>
      </c>
      <c r="K22" s="194">
        <f t="shared" si="3"/>
        <v>110.09458068433419</v>
      </c>
      <c r="L22" s="194">
        <f t="shared" si="3"/>
        <v>110.5906978153201</v>
      </c>
      <c r="M22" s="194">
        <f t="shared" si="3"/>
        <v>111.02993539531734</v>
      </c>
      <c r="N22" s="194">
        <f>365/N21</f>
        <v>91.827432871558059</v>
      </c>
      <c r="O22" s="194">
        <f>365/O21</f>
        <v>229.77049180327867</v>
      </c>
    </row>
    <row r="23" spans="2:15" ht="14.4" x14ac:dyDescent="0.3">
      <c r="B23" s="193" t="s">
        <v>440</v>
      </c>
      <c r="D23" s="194">
        <f>SUM(Model!H45:H49)/SUM(Model!H60:H61)</f>
        <v>3.3853883573945782</v>
      </c>
      <c r="E23" s="194">
        <f>SUM(Model!I45:I49)/SUM(Model!I60:I61)</f>
        <v>3.6606371441482155</v>
      </c>
      <c r="F23" s="194">
        <f>SUM(Model!J45:J49)/SUM(Model!J60:J61)</f>
        <v>3.3991759003351842</v>
      </c>
      <c r="G23" s="194">
        <f>SUM(Model!K45:K49)/SUM(Model!K60:K61)</f>
        <v>2.6104370143295075</v>
      </c>
      <c r="H23" s="194">
        <f>SUM(Model!L45:L49)/SUM(Model!L60:L61)</f>
        <v>2.4615435696193741</v>
      </c>
      <c r="I23" s="194">
        <f>SUM(Model!M45:M49)/SUM(Model!M60:M61)</f>
        <v>3.0166275979349759</v>
      </c>
      <c r="J23" s="194">
        <f>SUM(Model!N45:N49)/SUM(Model!N60:N61)</f>
        <v>3.4694735198097484</v>
      </c>
      <c r="K23" s="194">
        <f>SUM(Model!O45:O49)/SUM(Model!O60:O61)</f>
        <v>3.939290192083035</v>
      </c>
      <c r="L23" s="194">
        <f>SUM(Model!P45:P49)/SUM(Model!P60:P61)</f>
        <v>4.4243785736830841</v>
      </c>
      <c r="M23" s="194">
        <f>SUM(Model!Q45:Q49)/SUM(Model!Q60:Q61)</f>
        <v>4.9235977950837739</v>
      </c>
      <c r="N23" s="194">
        <f>250181/130338</f>
        <v>1.9194785864444752</v>
      </c>
      <c r="O23" s="194">
        <v>1.46</v>
      </c>
    </row>
    <row r="24" spans="2:15" x14ac:dyDescent="0.3"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</row>
    <row r="25" spans="2:15" ht="14.4" x14ac:dyDescent="0.3">
      <c r="B25" s="198" t="s">
        <v>441</v>
      </c>
      <c r="C25" s="184"/>
      <c r="D25" s="195"/>
      <c r="E25" s="195"/>
      <c r="F25" s="195"/>
      <c r="G25" s="195"/>
      <c r="H25" s="195"/>
      <c r="I25" s="196"/>
      <c r="J25" s="196"/>
      <c r="K25" s="196"/>
      <c r="L25" s="196"/>
      <c r="M25" s="196"/>
      <c r="N25" s="197"/>
      <c r="O25" s="197"/>
    </row>
    <row r="26" spans="2:15" ht="14.4" x14ac:dyDescent="0.3">
      <c r="B26" s="193" t="s">
        <v>442</v>
      </c>
      <c r="D26" s="199">
        <f>Model!H38/Model!H25</f>
        <v>0.18248935985407813</v>
      </c>
      <c r="E26" s="199">
        <f>Model!I38/Model!I25</f>
        <v>0.15801109440399322</v>
      </c>
      <c r="F26" s="199">
        <f>Model!J38/Model!J25</f>
        <v>8.6799502726898167E-2</v>
      </c>
      <c r="G26" s="199">
        <f>Model!K38/Model!K25</f>
        <v>0.14299968896979534</v>
      </c>
      <c r="H26" s="199">
        <f>Model!L38/Model!L25</f>
        <v>0.17092804052907482</v>
      </c>
      <c r="I26" s="199">
        <f>Model!M38/Model!M25</f>
        <v>0.15195180826171628</v>
      </c>
      <c r="J26" s="199">
        <f>Model!N38/Model!N25</f>
        <v>0.15454125118788764</v>
      </c>
      <c r="K26" s="199">
        <f>Model!O38/Model!O25</f>
        <v>0.15681236859110287</v>
      </c>
      <c r="L26" s="199">
        <f>Model!P38/Model!P25</f>
        <v>0.15880754699712318</v>
      </c>
      <c r="M26" s="199">
        <f>Model!Q38/Model!Q25</f>
        <v>0.16056478293980023</v>
      </c>
      <c r="N26" s="194">
        <v>0.17469999999999999</v>
      </c>
      <c r="O26" s="194">
        <v>0.19489999999999999</v>
      </c>
    </row>
    <row r="27" spans="2:15" ht="14.4" x14ac:dyDescent="0.3">
      <c r="B27" s="193" t="s">
        <v>443</v>
      </c>
      <c r="D27" s="199">
        <f>Model!H31/Model!H25</f>
        <v>0.21910747985619883</v>
      </c>
      <c r="E27" s="199">
        <f>Model!I31/Model!I25</f>
        <v>0.19304902395010812</v>
      </c>
      <c r="F27" s="199">
        <f>Model!J31/Model!J25</f>
        <v>0.13875454123797562</v>
      </c>
      <c r="G27" s="199">
        <f>Model!K31/Model!K25</f>
        <v>0.177262744738932</v>
      </c>
      <c r="H27" s="199">
        <f>Model!L31/Model!L25</f>
        <v>0.19377115388768737</v>
      </c>
      <c r="I27" s="199">
        <f>Model!M31/Model!M25</f>
        <v>0.1843889887341803</v>
      </c>
      <c r="J27" s="199">
        <f>Model!N31/Model!N25</f>
        <v>0.18438898873418028</v>
      </c>
      <c r="K27" s="199">
        <f>Model!O31/Model!O25</f>
        <v>0.18438898873418028</v>
      </c>
      <c r="L27" s="199">
        <f>Model!P31/Model!P25</f>
        <v>0.18438898873418028</v>
      </c>
      <c r="M27" s="199">
        <f>Model!Q31/Model!Q25</f>
        <v>0.1843889887341803</v>
      </c>
      <c r="N27" s="194">
        <v>0.2954</v>
      </c>
      <c r="O27" s="194">
        <v>0.3725</v>
      </c>
    </row>
    <row r="28" spans="2:15" ht="14.4" x14ac:dyDescent="0.3">
      <c r="B28" s="193" t="s">
        <v>444</v>
      </c>
      <c r="D28" s="199">
        <f>Model!H38/AVERAGE(Model!G56:H56)</f>
        <v>0.14044044495913813</v>
      </c>
      <c r="E28" s="199">
        <f>Model!I38/AVERAGE(Model!H56:I56)</f>
        <v>0.13133425432177412</v>
      </c>
      <c r="F28" s="199">
        <f>Model!J38/AVERAGE(Model!I56:J56)</f>
        <v>7.2365163003282648E-2</v>
      </c>
      <c r="G28" s="199">
        <f>Model!K38/AVERAGE(Model!J56:K56)</f>
        <v>0.12351622980458232</v>
      </c>
      <c r="H28" s="199">
        <f>Model!L38/AVERAGE(Model!K56:L56)</f>
        <v>0.13322912282811286</v>
      </c>
      <c r="I28" s="199">
        <f>Model!M38/AVERAGE(Model!L56:M56)</f>
        <v>0.11787813793641957</v>
      </c>
      <c r="J28" s="199">
        <f>Model!N38/AVERAGE(Model!M56:N56)</f>
        <v>0.11984243100335806</v>
      </c>
      <c r="K28" s="199">
        <f>Model!O38/AVERAGE(Model!N56:O56)</f>
        <v>0.11957576497375334</v>
      </c>
      <c r="L28" s="199">
        <f>Model!P38/AVERAGE(Model!O56:P56)</f>
        <v>0.11816353100925604</v>
      </c>
      <c r="M28" s="199">
        <f>Model!Q38/AVERAGE(Model!P56:Q56)</f>
        <v>0.11588343004052336</v>
      </c>
      <c r="N28" s="194">
        <v>0.1144</v>
      </c>
      <c r="O28" s="194">
        <v>0.14699999999999999</v>
      </c>
    </row>
    <row r="29" spans="2:15" ht="14.4" x14ac:dyDescent="0.3">
      <c r="B29" s="193" t="s">
        <v>445</v>
      </c>
      <c r="D29" s="199">
        <f>Model!H38/Model!$E$137</f>
        <v>135.29898804047849</v>
      </c>
      <c r="E29" s="199">
        <f>Model!I38/Model!$E$137</f>
        <v>140.53023333612114</v>
      </c>
      <c r="F29" s="199">
        <f>Model!J38/Model!$E$137</f>
        <v>84.202559170360544</v>
      </c>
      <c r="G29" s="199">
        <f>Model!K38/Model!$E$137</f>
        <v>151.49786735803298</v>
      </c>
      <c r="H29" s="199">
        <f>Model!L38/Model!$E$137</f>
        <v>185.33076858743843</v>
      </c>
      <c r="I29" s="199">
        <f>Model!M38/Model!$E$137</f>
        <v>181.47264423681276</v>
      </c>
      <c r="J29" s="199">
        <f>Model!N38/Model!$E$137</f>
        <v>200.85771912399554</v>
      </c>
      <c r="K29" s="199">
        <f>Model!O38/Model!$E$137</f>
        <v>219.46198262364038</v>
      </c>
      <c r="L29" s="199">
        <f>Model!P38/Model!$E$137</f>
        <v>237.10433590997306</v>
      </c>
      <c r="M29" s="199">
        <f>Model!Q38/Model!$E$137</f>
        <v>253.66323219622819</v>
      </c>
      <c r="N29" s="194">
        <v>67.89</v>
      </c>
      <c r="O29" s="194">
        <v>55.79</v>
      </c>
    </row>
    <row r="30" spans="2:15" ht="14.4" x14ac:dyDescent="0.3">
      <c r="B30" s="193" t="s">
        <v>446</v>
      </c>
      <c r="D30" s="199">
        <f>Model!H38/Model!H69</f>
        <v>0.21930719980262273</v>
      </c>
      <c r="E30" s="199">
        <f>Model!I38/Model!I69</f>
        <v>0.19452876277799008</v>
      </c>
      <c r="F30" s="199">
        <f>Model!J38/Model!J69</f>
        <v>0.11130765293318411</v>
      </c>
      <c r="G30" s="199">
        <f>Model!K38/Model!K69</f>
        <v>0.17566422227954454</v>
      </c>
      <c r="H30" s="199">
        <f>Model!L38/Model!L69</f>
        <v>0.18489979449088734</v>
      </c>
      <c r="I30" s="199">
        <f>Model!M38/Model!M69</f>
        <v>0.16073797119439759</v>
      </c>
      <c r="J30" s="199">
        <f>Model!N38/Model!N69</f>
        <v>0.1582562233696426</v>
      </c>
      <c r="K30" s="199">
        <f>Model!O38/Model!O69</f>
        <v>0.15429261124165425</v>
      </c>
      <c r="L30" s="199">
        <f>Model!P38/Model!P69</f>
        <v>0.14932213025619448</v>
      </c>
      <c r="M30" s="199">
        <f>Model!Q38/Model!Q69</f>
        <v>0.14372461357581312</v>
      </c>
      <c r="N30" s="194">
        <v>0.16850000000000001</v>
      </c>
      <c r="O30" s="194">
        <v>24.86</v>
      </c>
    </row>
    <row r="31" spans="2:15" x14ac:dyDescent="0.3"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4"/>
      <c r="O31" s="194"/>
    </row>
    <row r="32" spans="2:15" ht="14.4" x14ac:dyDescent="0.3">
      <c r="B32" s="198" t="s">
        <v>447</v>
      </c>
      <c r="C32" s="184"/>
      <c r="D32" s="200"/>
      <c r="E32" s="200"/>
      <c r="F32" s="200"/>
      <c r="G32" s="200"/>
      <c r="H32" s="200"/>
      <c r="I32" s="201"/>
      <c r="J32" s="201"/>
      <c r="K32" s="201"/>
      <c r="L32" s="201"/>
      <c r="M32" s="201"/>
      <c r="N32" s="197"/>
      <c r="O32" s="197"/>
    </row>
    <row r="33" spans="2:15" ht="14.4" x14ac:dyDescent="0.3">
      <c r="B33" s="193" t="s">
        <v>448</v>
      </c>
      <c r="D33" s="199">
        <f>Model!H82/Model!H25</f>
        <v>0.14268455421934098</v>
      </c>
      <c r="E33" s="199">
        <f>Model!I82/Model!I25</f>
        <v>0.10447622244853627</v>
      </c>
      <c r="F33" s="199">
        <f>Model!J82/Model!J25</f>
        <v>0.14505235678827785</v>
      </c>
      <c r="G33" s="199">
        <f>Model!K82/Model!K25</f>
        <v>0.15378391137060118</v>
      </c>
      <c r="H33" s="199">
        <f>Model!L82/Model!L25</f>
        <v>0.14754422068846357</v>
      </c>
      <c r="I33" s="199">
        <f>Model!M82/Model!M25</f>
        <v>0.10940984300693821</v>
      </c>
      <c r="J33" s="199">
        <f>Model!N82/Model!N25</f>
        <v>0.13626333730268991</v>
      </c>
      <c r="K33" s="199">
        <f>Model!O82/Model!O25</f>
        <v>0.13885321061264669</v>
      </c>
      <c r="L33" s="199">
        <f>Model!P82/Model!P25</f>
        <v>0.14115486992540185</v>
      </c>
      <c r="M33" s="199">
        <f>Model!Q82/Model!Q25</f>
        <v>0.14319406031876969</v>
      </c>
      <c r="N33" s="194">
        <f>46428/326439</f>
        <v>0.14222565318482167</v>
      </c>
      <c r="O33" s="194">
        <f>2585.11/11539.36</f>
        <v>0.22402542255376381</v>
      </c>
    </row>
    <row r="34" spans="2:15" ht="14.4" x14ac:dyDescent="0.3">
      <c r="B34" s="193" t="s">
        <v>449</v>
      </c>
      <c r="D34" s="199">
        <f>Model!H82/Model!H56</f>
        <v>0.1098074008226223</v>
      </c>
      <c r="E34" s="199">
        <f>Model!I82/Model!I56</f>
        <v>7.8968298814643914E-2</v>
      </c>
      <c r="F34" s="199">
        <f>Model!J82/Model!J56</f>
        <v>0.12230466327872452</v>
      </c>
      <c r="G34" s="199">
        <f>Model!K82/Model!K56</f>
        <v>0.12507752858766349</v>
      </c>
      <c r="H34" s="199">
        <f>Model!L82/Model!L56</f>
        <v>0.10812442414547427</v>
      </c>
      <c r="I34" s="199">
        <f>Model!M82/Model!M56</f>
        <v>8.1695326403427679E-2</v>
      </c>
      <c r="J34" s="199">
        <f>Model!N82/Model!N56</f>
        <v>0.10105076209388272</v>
      </c>
      <c r="K34" s="199">
        <f>Model!O82/Model!O56</f>
        <v>0.10131403640571909</v>
      </c>
      <c r="L34" s="199">
        <f>Model!P82/Model!P56</f>
        <v>0.1005919340145786</v>
      </c>
      <c r="M34" s="199">
        <f>Model!Q82/Model!Q56</f>
        <v>9.9096959203665111E-2</v>
      </c>
      <c r="N34" s="194">
        <f>46428/494266</f>
        <v>9.3933226238503156E-2</v>
      </c>
      <c r="O34" s="194">
        <f>2585.11/14989.74</f>
        <v>0.1724586283684707</v>
      </c>
    </row>
    <row r="35" spans="2:15" ht="14.4" x14ac:dyDescent="0.3">
      <c r="B35" s="193" t="s">
        <v>450</v>
      </c>
      <c r="D35" s="199">
        <f>Model!H82/Model!H33</f>
        <v>0.75841972406928793</v>
      </c>
      <c r="E35" s="199">
        <f>Model!I82/Model!I33</f>
        <v>0.63524608910438185</v>
      </c>
      <c r="F35" s="199">
        <f>Model!J82/Model!J33</f>
        <v>1.2951971855923257</v>
      </c>
      <c r="G35" s="199">
        <f>Model!K82/Model!K33</f>
        <v>1.0009659899598702</v>
      </c>
      <c r="H35" s="199">
        <f>Model!L82/Model!L33</f>
        <v>0.88763288924774542</v>
      </c>
      <c r="I35" s="199">
        <f>Model!M82/Model!M33</f>
        <v>0.68195237393841157</v>
      </c>
      <c r="J35" s="199">
        <f>Model!N82/Model!N33</f>
        <v>0.83616748653771444</v>
      </c>
      <c r="K35" s="199">
        <f>Model!O82/Model!O33</f>
        <v>0.84047086157013295</v>
      </c>
      <c r="L35" s="199">
        <f>Model!P82/Model!P33</f>
        <v>0.84419535715592364</v>
      </c>
      <c r="M35" s="199">
        <f>Model!Q82/Model!Q33</f>
        <v>0.84738447940882089</v>
      </c>
      <c r="N35" s="194">
        <f>46428/(76578+2829)</f>
        <v>0.58468396992708449</v>
      </c>
      <c r="O35" s="194">
        <f>2585.11/(2697+252.31)</f>
        <v>0.87651348959587161</v>
      </c>
    </row>
  </sheetData>
  <mergeCells count="4">
    <mergeCell ref="B1:O1"/>
    <mergeCell ref="D2:H2"/>
    <mergeCell ref="I2:M2"/>
    <mergeCell ref="B2:C2"/>
  </mergeCells>
  <pageMargins left="0.7" right="0.7" top="0.75" bottom="0.75" header="0.3" footer="0.3"/>
  <ignoredErrors>
    <ignoredError sqref="D18:M18 D20:M20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F7A9-A7E3-46E0-88F7-FF47A41939B3}">
  <dimension ref="B4:M17"/>
  <sheetViews>
    <sheetView workbookViewId="0">
      <selection activeCell="J24" sqref="J24"/>
    </sheetView>
  </sheetViews>
  <sheetFormatPr defaultColWidth="8.77734375" defaultRowHeight="13.8" x14ac:dyDescent="0.3"/>
  <cols>
    <col min="1" max="16384" width="8.77734375" style="177"/>
  </cols>
  <sheetData>
    <row r="4" spans="2:13" ht="25.8" x14ac:dyDescent="0.5">
      <c r="B4" s="178" t="s">
        <v>451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</row>
    <row r="5" spans="2:13" ht="14.4" x14ac:dyDescent="0.3">
      <c r="B5" s="188"/>
      <c r="C5" s="188"/>
      <c r="D5" s="202" t="s">
        <v>421</v>
      </c>
      <c r="E5" s="202"/>
      <c r="F5" s="202"/>
      <c r="G5" s="202"/>
      <c r="H5" s="202"/>
      <c r="I5" s="203" t="s">
        <v>422</v>
      </c>
      <c r="J5" s="203"/>
      <c r="K5" s="203"/>
      <c r="L5" s="203"/>
      <c r="M5" s="203"/>
    </row>
    <row r="6" spans="2:13" ht="14.4" x14ac:dyDescent="0.3">
      <c r="B6" s="183" t="s">
        <v>423</v>
      </c>
      <c r="C6" s="184"/>
      <c r="D6" s="204" t="s">
        <v>452</v>
      </c>
      <c r="E6" s="204" t="s">
        <v>453</v>
      </c>
      <c r="F6" s="204" t="s">
        <v>454</v>
      </c>
      <c r="G6" s="204" t="s">
        <v>455</v>
      </c>
      <c r="H6" s="204" t="s">
        <v>463</v>
      </c>
      <c r="I6" s="204" t="s">
        <v>456</v>
      </c>
      <c r="J6" s="204" t="s">
        <v>457</v>
      </c>
      <c r="K6" s="204" t="s">
        <v>458</v>
      </c>
      <c r="L6" s="204" t="s">
        <v>459</v>
      </c>
      <c r="M6" s="204" t="s">
        <v>464</v>
      </c>
    </row>
    <row r="8" spans="2:13" x14ac:dyDescent="0.3">
      <c r="B8" s="179" t="s">
        <v>460</v>
      </c>
      <c r="C8" s="179"/>
      <c r="D8" s="205">
        <f>Model!H38/Model!H25</f>
        <v>0.18248935985407813</v>
      </c>
      <c r="E8" s="205">
        <f>Model!I38/Model!I25</f>
        <v>0.15801109440399322</v>
      </c>
      <c r="F8" s="205">
        <f>Model!J38/Model!J25</f>
        <v>8.6799502726898167E-2</v>
      </c>
      <c r="G8" s="205">
        <f>Model!K38/Model!K25</f>
        <v>0.14299968896979534</v>
      </c>
      <c r="H8" s="205">
        <f>Model!L38/Model!L25</f>
        <v>0.17092804052907482</v>
      </c>
      <c r="I8" s="205">
        <f>Model!M38/Model!M25</f>
        <v>0.15195180826171628</v>
      </c>
      <c r="J8" s="205">
        <f>Model!N38/Model!N25</f>
        <v>0.15454125118788764</v>
      </c>
      <c r="K8" s="205">
        <f>Model!O38/Model!O25</f>
        <v>0.15681236859110287</v>
      </c>
      <c r="L8" s="205">
        <f>Model!P38/Model!P25</f>
        <v>0.15880754699712318</v>
      </c>
      <c r="M8" s="205">
        <f>Model!Q38/Model!Q25</f>
        <v>0.16056478293980023</v>
      </c>
    </row>
    <row r="9" spans="2:13" x14ac:dyDescent="0.3">
      <c r="B9" s="179" t="s">
        <v>461</v>
      </c>
      <c r="C9" s="179"/>
      <c r="D9" s="206">
        <f>'Ratio Analysis'!D20</f>
        <v>1.3959898210174577</v>
      </c>
      <c r="E9" s="206">
        <f>'Ratio Analysis'!E20</f>
        <v>1.5077509405552094</v>
      </c>
      <c r="F9" s="206">
        <f>'Ratio Analysis'!F20</f>
        <v>1.512239655734932</v>
      </c>
      <c r="G9" s="206">
        <f>'Ratio Analysis'!G20</f>
        <v>1.5628626453820122</v>
      </c>
      <c r="H9" s="206">
        <f>'Ratio Analysis'!H20</f>
        <v>1.4065401384622687</v>
      </c>
      <c r="I9" s="206">
        <f>'Ratio Analysis'!I20</f>
        <v>1.4045401406203719</v>
      </c>
      <c r="J9" s="206">
        <f>'Ratio Analysis'!J20</f>
        <v>1.4149373191785823</v>
      </c>
      <c r="K9" s="206">
        <f>'Ratio Analysis'!K20</f>
        <v>1.4020147644358769</v>
      </c>
      <c r="L9" s="206">
        <f>'Ratio Analysis'!L20</f>
        <v>1.3775365685459335</v>
      </c>
      <c r="M9" s="206">
        <f>'Ratio Analysis'!M20</f>
        <v>1.3444955864391068</v>
      </c>
    </row>
    <row r="10" spans="2:13" x14ac:dyDescent="0.3">
      <c r="B10" s="179" t="s">
        <v>462</v>
      </c>
      <c r="C10" s="179"/>
      <c r="D10" s="206">
        <v>0.86086111325750003</v>
      </c>
      <c r="E10" s="206">
        <v>0.81651964019032397</v>
      </c>
      <c r="F10" s="206">
        <v>0.84798303868643232</v>
      </c>
      <c r="G10" s="206">
        <v>0.78600880910312776</v>
      </c>
      <c r="H10" s="206">
        <v>0.76907905550915445</v>
      </c>
      <c r="I10" s="206">
        <v>0.75314475210824605</v>
      </c>
      <c r="J10" s="206">
        <v>0.72373432746668875</v>
      </c>
      <c r="K10" s="206">
        <v>0.70179816319851906</v>
      </c>
      <c r="L10" s="206">
        <v>0.68257425366713464</v>
      </c>
      <c r="M10" s="206">
        <v>0.66576578509205564</v>
      </c>
    </row>
    <row r="12" spans="2:13" ht="15" thickBot="1" x14ac:dyDescent="0.35">
      <c r="B12" s="207" t="s">
        <v>446</v>
      </c>
      <c r="C12" s="207"/>
      <c r="D12" s="208">
        <f t="shared" ref="D12:M12" si="0">D8*D9*D10</f>
        <v>0.21930719980262273</v>
      </c>
      <c r="E12" s="208">
        <f t="shared" si="0"/>
        <v>0.19452876277799008</v>
      </c>
      <c r="F12" s="208">
        <f t="shared" si="0"/>
        <v>0.11130765293318411</v>
      </c>
      <c r="G12" s="208">
        <f t="shared" si="0"/>
        <v>0.17566422227954454</v>
      </c>
      <c r="H12" s="208">
        <f t="shared" si="0"/>
        <v>0.18489979449088734</v>
      </c>
      <c r="I12" s="208">
        <f t="shared" si="0"/>
        <v>0.16073797119439759</v>
      </c>
      <c r="J12" s="208">
        <f t="shared" si="0"/>
        <v>0.1582562233696426</v>
      </c>
      <c r="K12" s="208">
        <f t="shared" si="0"/>
        <v>0.15429261124165425</v>
      </c>
      <c r="L12" s="208">
        <f t="shared" si="0"/>
        <v>0.14932213025619448</v>
      </c>
      <c r="M12" s="208">
        <f t="shared" si="0"/>
        <v>0.14372461357581312</v>
      </c>
    </row>
    <row r="14" spans="2:13" x14ac:dyDescent="0.3">
      <c r="D14" s="209"/>
      <c r="E14" s="209"/>
      <c r="F14" s="209"/>
      <c r="G14" s="209"/>
      <c r="H14" s="209"/>
      <c r="I14" s="209"/>
      <c r="J14" s="209"/>
      <c r="K14" s="209"/>
      <c r="L14" s="209"/>
      <c r="M14" s="209"/>
    </row>
    <row r="17" spans="4:13" x14ac:dyDescent="0.3">
      <c r="D17" s="210"/>
      <c r="E17" s="210"/>
      <c r="F17" s="210"/>
      <c r="G17" s="210"/>
      <c r="H17" s="210"/>
      <c r="I17" s="210"/>
      <c r="J17" s="210"/>
      <c r="K17" s="210"/>
      <c r="L17" s="210"/>
      <c r="M17" s="210"/>
    </row>
  </sheetData>
  <mergeCells count="7">
    <mergeCell ref="B4:M4"/>
    <mergeCell ref="B12:C12"/>
    <mergeCell ref="D5:H5"/>
    <mergeCell ref="I5:M5"/>
    <mergeCell ref="B8:C8"/>
    <mergeCell ref="B9:C9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Temp</vt:lpstr>
      <vt:lpstr>Valuation Summary</vt:lpstr>
      <vt:lpstr>Historical</vt:lpstr>
      <vt:lpstr>Model</vt:lpstr>
      <vt:lpstr>Scenarios</vt:lpstr>
      <vt:lpstr>Relative Valuation</vt:lpstr>
      <vt:lpstr>Comps Basic Sheet</vt:lpstr>
      <vt:lpstr>Market_Data</vt:lpstr>
      <vt:lpstr>WACC</vt:lpstr>
      <vt:lpstr>Beta</vt:lpstr>
      <vt:lpstr>Ratio Analysis</vt:lpstr>
      <vt:lpstr>DuPont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Sharma</dc:creator>
  <cp:lastModifiedBy>Akshit Vig</cp:lastModifiedBy>
  <cp:lastPrinted>2025-08-18T09:39:10Z</cp:lastPrinted>
  <dcterms:created xsi:type="dcterms:W3CDTF">2024-02-23T06:59:18Z</dcterms:created>
  <dcterms:modified xsi:type="dcterms:W3CDTF">2025-11-16T18:15:12Z</dcterms:modified>
</cp:coreProperties>
</file>